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ashboard" sheetId="1" state="visible" r:id="rId1"/>
    <sheet xmlns:r="http://schemas.openxmlformats.org/officeDocument/2006/relationships" name="Control Library" sheetId="2" state="visible" r:id="rId2"/>
    <sheet xmlns:r="http://schemas.openxmlformats.org/officeDocument/2006/relationships" name="Framework Crosswalk" sheetId="3" state="visible" r:id="rId3"/>
    <sheet xmlns:r="http://schemas.openxmlformats.org/officeDocument/2006/relationships" name="Test Workpapers" sheetId="4" state="visible" r:id="rId4"/>
    <sheet xmlns:r="http://schemas.openxmlformats.org/officeDocument/2006/relationships" name="Findings" sheetId="5" state="visible" r:id="rId5"/>
    <sheet xmlns:r="http://schemas.openxmlformats.org/officeDocument/2006/relationships" name="Evidence Requests" sheetId="6" state="visible" r:id="rId6"/>
    <sheet xmlns:r="http://schemas.openxmlformats.org/officeDocument/2006/relationships" name="References" sheetId="7" state="visible" r:id="rId7"/>
  </sheets>
  <definedNames>
    <definedName name="_xlnm.Print_Area" localSheetId="0">'Dashboard'!$A$1:$H$9</definedName>
    <definedName name="_xlnm.Print_Area" localSheetId="1">'Control Library'!$A$1:$L$16</definedName>
    <definedName name="_xlnm.Print_Area" localSheetId="2">'Framework Crosswalk'!$A$1:$H$16</definedName>
    <definedName name="_xlnm.Print_Area" localSheetId="3">'Test Workpapers'!$A$1:$J$6</definedName>
    <definedName name="_xlnm.Print_Area" localSheetId="4">'Findings'!$A$1:$H$4</definedName>
    <definedName name="_xlnm.Print_Area" localSheetId="5">'Evidence Requests'!$A$1:$F$16</definedName>
    <definedName name="_xlnm.Print_Area" localSheetId="6">'References'!$A$1:$C$11</definedName>
  </definedNames>
</workbook>
</file>

<file path=xl/styles.xml><?xml version="1.0" encoding="utf-8"?>
<styleSheet xmlns="http://schemas.openxmlformats.org/spreadsheetml/2006/main">
  <numFmts count="1">
    <numFmt numFmtId="164" formatCode="yyyy-mm-dd"/>
  </numFmts>
  <fonts count="5">
    <font>
      <name val="Carlito"/>
      <sz val="11"/>
    </font>
    <font>
      <name val="Carlito"/>
      <color rgb="FFFFFFFF"/>
      <sz val="11"/>
    </font>
    <font>
      <name val="Carlito"/>
      <b val="1"/>
      <color rgb="FFFFFFFF"/>
      <sz val="11"/>
    </font>
    <font>
      <name val="Carlito"/>
      <b val="1"/>
      <color rgb="FFFFFFFF"/>
      <sz val="16"/>
    </font>
    <font>
      <name val="Carlito"/>
      <b val="1"/>
      <sz val="11"/>
    </font>
  </fonts>
  <fills count="4">
    <fill>
      <patternFill/>
    </fill>
    <fill>
      <patternFill patternType="gray125"/>
    </fill>
    <fill>
      <patternFill patternType="solid">
        <fgColor rgb="FF12355B"/>
      </patternFill>
    </fill>
    <fill>
      <patternFill patternType="solid">
        <fgColor rgb="FFE8F0FE"/>
      </patternFill>
    </fill>
  </fills>
  <borders count="16">
    <border/>
    <border>
      <left style="thin">
        <color rgb="FFCBD5E1"/>
      </left>
      <right style="thin">
        <color rgb="FFCBD5E1"/>
      </right>
      <top style="thin">
        <color rgb="FFCBD5E1"/>
      </top>
    </border>
    <border>
      <left style="thin">
        <color rgb="FFCBD5E1"/>
      </left>
      <right style="thin">
        <color rgb="FFCBD5E1"/>
      </right>
    </border>
    <border>
      <left style="thin">
        <color rgb="FFCBD5E1"/>
      </left>
      <right style="thin">
        <color rgb="FFCBD5E1"/>
      </right>
      <bottom style="thin">
        <color rgb="FFCBD5E1"/>
      </bottom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E5E7EB"/>
      </bottom>
    </border>
    <border>
      <right style="thin">
        <color rgb="FFCBD5E1"/>
      </right>
      <top style="thin">
        <color rgb="FFCBD5E1"/>
      </top>
      <bottom style="thin">
        <color rgb="FFE5E7EB"/>
      </bottom>
    </border>
    <border>
      <left style="thin">
        <color rgb="FFCBD5E1"/>
      </left>
      <right style="thin">
        <color rgb="FFCBD5E1"/>
      </right>
      <top style="thin">
        <color rgb="FFE5E7EB"/>
      </top>
      <bottom style="thin">
        <color rgb="FFE5E7EB"/>
      </bottom>
    </border>
    <border>
      <right style="thin">
        <color rgb="FFCBD5E1"/>
      </right>
      <top style="thin">
        <color rgb="FFE5E7EB"/>
      </top>
      <bottom style="thin">
        <color rgb="FFE5E7EB"/>
      </bottom>
    </border>
    <border>
      <left style="thin">
        <color rgb="FFCBD5E1"/>
      </left>
      <right style="thin">
        <color rgb="FFCBD5E1"/>
      </right>
      <top style="thin">
        <color rgb="FFE5E7EB"/>
      </top>
      <bottom style="thin">
        <color rgb="FFCBD5E1"/>
      </bottom>
    </border>
    <border>
      <right style="thin">
        <color rgb="FFCBD5E1"/>
      </right>
      <top style="thin">
        <color rgb="FFE5E7EB"/>
      </top>
      <bottom style="thin">
        <color rgb="FFCBD5E1"/>
      </bottom>
    </border>
    <border>
      <left style="thin">
        <color rgb="FFCBD5E1"/>
      </left>
      <top style="thin">
        <color rgb="FFCBD5E1"/>
      </top>
      <bottom style="thin">
        <color rgb="FFCBD5E1"/>
      </bottom>
    </border>
    <border>
      <top style="thin">
        <color rgb="FFCBD5E1"/>
      </top>
      <bottom style="thin">
        <color rgb="FFCBD5E1"/>
      </bottom>
    </border>
    <border>
      <right style="thin">
        <color rgb="FFCBD5E1"/>
      </right>
      <top style="thin">
        <color rgb="FFCBD5E1"/>
      </top>
      <bottom style="thin">
        <color rgb="FFCBD5E1"/>
      </bottom>
    </border>
    <border>
      <top style="thin">
        <color rgb="FFCBD5E1"/>
      </top>
      <bottom style="thin">
        <color rgb="FFE5E7EB"/>
      </bottom>
    </border>
    <border>
      <top style="thin">
        <color rgb="FFE5E7EB"/>
      </top>
      <bottom style="thin">
        <color rgb="FFE5E7EB"/>
      </bottom>
    </border>
    <border>
      <top style="thin">
        <color rgb="FFE5E7EB"/>
      </top>
      <bottom style="thin">
        <color rgb="FFCBD5E1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3" fillId="2" borderId="0" pivotButton="0" quotePrefix="0" xfId="0"/>
    <xf numFmtId="0" fontId="0" fillId="3" borderId="0" pivotButton="0" quotePrefix="0" xfId="0"/>
    <xf numFmtId="0" fontId="4" fillId="3" borderId="0" pivotButton="0" quotePrefix="0" xfId="0"/>
    <xf numFmtId="0" fontId="4" fillId="3" borderId="1" pivotButton="0" quotePrefix="0" xfId="0"/>
    <xf numFmtId="0" fontId="4" fillId="3" borderId="2" pivotButton="0" quotePrefix="0" xfId="0"/>
    <xf numFmtId="0" fontId="4" fillId="3" borderId="3" pivotButton="0" quotePrefix="0" xfId="0"/>
    <xf numFmtId="0" fontId="4" fillId="3" borderId="1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4" fillId="3" borderId="2" applyAlignment="1" pivotButton="0" quotePrefix="0" xfId="0">
      <alignment wrapText="1"/>
    </xf>
    <xf numFmtId="0" fontId="4" fillId="3" borderId="3" applyAlignment="1" pivotButton="0" quotePrefix="0" xfId="0">
      <alignment wrapText="1"/>
    </xf>
    <xf numFmtId="0" fontId="4" fillId="3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4" fillId="3" borderId="2" applyAlignment="1" pivotButton="0" quotePrefix="0" xfId="0">
      <alignment vertical="top" wrapText="1"/>
    </xf>
    <xf numFmtId="0" fontId="4" fillId="3" borderId="3" applyAlignment="1" pivotButton="0" quotePrefix="0" xfId="0">
      <alignment vertical="top" wrapText="1"/>
    </xf>
    <xf numFmtId="0" fontId="4" fillId="3" borderId="4" applyAlignment="1" pivotButton="0" quotePrefix="0" xfId="0">
      <alignment vertical="top" wrapText="1"/>
    </xf>
    <xf numFmtId="0" fontId="0" fillId="0" borderId="5" applyAlignment="1" pivotButton="0" quotePrefix="0" xfId="0">
      <alignment vertical="top" wrapText="1"/>
    </xf>
    <xf numFmtId="0" fontId="4" fillId="3" borderId="6" applyAlignment="1" pivotButton="0" quotePrefix="0" xfId="0">
      <alignment vertical="top" wrapText="1"/>
    </xf>
    <xf numFmtId="0" fontId="0" fillId="0" borderId="7" applyAlignment="1" pivotButton="0" quotePrefix="0" xfId="0">
      <alignment vertical="top" wrapText="1"/>
    </xf>
    <xf numFmtId="0" fontId="4" fillId="3" borderId="8" applyAlignment="1" pivotButton="0" quotePrefix="0" xfId="0">
      <alignment vertical="top" wrapText="1"/>
    </xf>
    <xf numFmtId="0" fontId="0" fillId="0" borderId="9" applyAlignment="1" pivotButton="0" quotePrefix="0" xfId="0">
      <alignment vertical="top" wrapText="1"/>
    </xf>
    <xf numFmtId="9" fontId="0" fillId="0" borderId="7" applyAlignment="1" pivotButton="0" quotePrefix="0" xfId="0">
      <alignment vertical="top" wrapText="1"/>
    </xf>
    <xf numFmtId="164" fontId="0" fillId="0" borderId="9" applyAlignment="1" pivotButton="0" quotePrefix="0" xfId="0">
      <alignment vertical="top" wrapText="1"/>
    </xf>
    <xf numFmtId="0" fontId="2" fillId="2" borderId="0" applyAlignment="1" pivotButton="0" quotePrefix="0" xfId="0">
      <alignment wrapText="1"/>
    </xf>
    <xf numFmtId="0" fontId="2" fillId="2" borderId="10" applyAlignment="1" pivotButton="0" quotePrefix="0" xfId="0">
      <alignment wrapText="1"/>
    </xf>
    <xf numFmtId="0" fontId="2" fillId="2" borderId="11" applyAlignment="1" pivotButton="0" quotePrefix="0" xfId="0">
      <alignment wrapText="1"/>
    </xf>
    <xf numFmtId="0" fontId="2" fillId="2" borderId="12" applyAlignment="1" pivotButton="0" quotePrefix="0" xfId="0">
      <alignment wrapText="1"/>
    </xf>
    <xf numFmtId="0" fontId="0" fillId="0" borderId="13" applyAlignment="1" pivotButton="0" quotePrefix="0" xfId="0">
      <alignment vertical="top" wrapText="1"/>
    </xf>
    <xf numFmtId="0" fontId="0" fillId="0" borderId="14" applyAlignment="1" pivotButton="0" quotePrefix="0" xfId="0">
      <alignment vertical="top" wrapText="1"/>
    </xf>
    <xf numFmtId="0" fontId="0" fillId="0" borderId="15" applyAlignment="1" pivotButton="0" quotePrefix="0" xfId="0">
      <alignment vertical="top" wrapText="1"/>
    </xf>
    <xf numFmtId="9" fontId="0" fillId="0" borderId="7" applyAlignment="1" pivotButton="0" quotePrefix="0" xfId="0">
      <alignment vertical="top" wrapText="1"/>
    </xf>
    <xf numFmtId="164" fontId="0" fillId="0" borderId="9" applyAlignment="1" pivotButton="0" quotePrefix="0" xfId="0">
      <alignment vertical="top" wrapText="1"/>
    </xf>
  </cellXfs>
  <cellStyles count="1">
    <cellStyle name="Normal" xfId="0"/>
  </cellStyles>
  <dxfs count="30">
    <dxf>
      <font>
        <b val="1"/>
        <color rgb="FFB91C1C"/>
      </font>
    </dxf>
    <dxf>
      <font>
        <b val="1"/>
        <color rgb="FF92400E"/>
      </font>
    </dxf>
    <dxf>
      <font>
        <b val="1"/>
        <color rgb="FF166534"/>
      </font>
    </dxf>
    <dxf>
      <font>
        <b val="1"/>
        <color rgb="FF166534"/>
      </font>
    </dxf>
    <dxf>
      <font>
        <b val="1"/>
        <color rgb="FFB91C1C"/>
      </font>
    </dxf>
    <dxf>
      <font>
        <b val="1"/>
        <color rgb="FF92400E"/>
      </font>
    </dxf>
    <dxf>
      <font>
        <b val="1"/>
        <color rgb="FFB91C1C"/>
      </font>
    </dxf>
    <dxf>
      <font>
        <b val="1"/>
        <color rgb="FF92400E"/>
      </font>
    </dxf>
    <dxf>
      <font>
        <b val="1"/>
        <color rgb="FF166534"/>
      </font>
    </dxf>
    <dxf>
      <font>
        <b val="1"/>
        <color rgb="FF166534"/>
      </font>
    </dxf>
    <dxf>
      <font>
        <b val="1"/>
        <color rgb="FFB91C1C"/>
      </font>
    </dxf>
    <dxf>
      <font>
        <b val="1"/>
        <color rgb="FF92400E"/>
      </font>
    </dxf>
    <dxf>
      <font>
        <b val="1"/>
        <color rgb="FFB91C1C"/>
      </font>
    </dxf>
    <dxf>
      <font>
        <b val="1"/>
        <color rgb="FF92400E"/>
      </font>
    </dxf>
    <dxf>
      <font>
        <b val="1"/>
        <color rgb="FF166534"/>
      </font>
    </dxf>
    <dxf>
      <font>
        <b val="1"/>
        <color rgb="FF166534"/>
      </font>
    </dxf>
    <dxf>
      <font>
        <b val="1"/>
        <color rgb="FFB91C1C"/>
      </font>
    </dxf>
    <dxf>
      <font>
        <b val="1"/>
        <color rgb="FF92400E"/>
      </font>
    </dxf>
    <dxf>
      <font>
        <b val="1"/>
        <color rgb="FFB91C1C"/>
      </font>
    </dxf>
    <dxf>
      <font>
        <b val="1"/>
        <color rgb="FF92400E"/>
      </font>
    </dxf>
    <dxf>
      <font>
        <b val="1"/>
        <color rgb="FF166534"/>
      </font>
    </dxf>
    <dxf>
      <font>
        <b val="1"/>
        <color rgb="FF166534"/>
      </font>
    </dxf>
    <dxf>
      <font>
        <b val="1"/>
        <color rgb="FFB91C1C"/>
      </font>
    </dxf>
    <dxf>
      <font>
        <b val="1"/>
        <color rgb="FF92400E"/>
      </font>
    </dxf>
    <dxf>
      <font>
        <b val="1"/>
        <color rgb="FFB91C1C"/>
      </font>
    </dxf>
    <dxf>
      <font>
        <b val="1"/>
        <color rgb="FF92400E"/>
      </font>
    </dxf>
    <dxf>
      <font>
        <b val="1"/>
        <color rgb="FF166534"/>
      </font>
    </dxf>
    <dxf>
      <font>
        <b val="1"/>
        <color rgb="FF166534"/>
      </font>
    </dxf>
    <dxf>
      <font>
        <b val="1"/>
        <color rgb="FFB91C1C"/>
      </font>
    </dxf>
    <dxf>
      <font>
        <b val="1"/>
        <color rgb="FF92400E"/>
      </font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9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4" customWidth="1" min="3" max="3"/>
    <col width="24" customWidth="1" min="4" max="4"/>
    <col width="18" customWidth="1" min="5" max="5"/>
    <col width="14" customWidth="1" min="6" max="6"/>
    <col width="42" customWidth="1" min="7" max="7"/>
    <col width="42" customWidth="1" min="8" max="8"/>
  </cols>
  <sheetData>
    <row r="1">
      <c r="A1" s="4" t="inlineStr">
        <is>
          <t>Pinecastle - Control Crosswalk and Testing</t>
        </is>
      </c>
    </row>
    <row r="3">
      <c r="A3" s="18" t="inlineStr">
        <is>
          <t>Controls</t>
        </is>
      </c>
      <c r="B3" s="19">
        <f>COUNTA('Control Library'!A2:A16)</f>
        <v/>
      </c>
      <c r="D3" s="27" t="inlineStr">
        <is>
          <t>Control Domain</t>
        </is>
      </c>
      <c r="E3" s="28" t="inlineStr">
        <is>
          <t>Control Count</t>
        </is>
      </c>
      <c r="F3" s="28" t="inlineStr">
        <is>
          <t>High Risk</t>
        </is>
      </c>
      <c r="G3" s="28" t="inlineStr">
        <is>
          <t>Why It Matters</t>
        </is>
      </c>
      <c r="H3" s="29" t="inlineStr">
        <is>
          <t>Interview Point</t>
        </is>
      </c>
    </row>
    <row r="4">
      <c r="A4" s="20" t="inlineStr">
        <is>
          <t>Tested Controls</t>
        </is>
      </c>
      <c r="B4" s="21">
        <f>COUNTA('Test Workpapers'!A2:A6)</f>
        <v/>
      </c>
      <c r="D4" s="30" t="inlineStr">
        <is>
          <t>Identity</t>
        </is>
      </c>
      <c r="E4" s="30" t="n">
        <v>3</v>
      </c>
      <c r="F4" s="30" t="n">
        <v>2</v>
      </c>
      <c r="G4" s="30" t="inlineStr">
        <is>
          <t>Access is central to SOC 2 and customer trust.</t>
        </is>
      </c>
      <c r="H4" s="30" t="inlineStr">
        <is>
          <t>MFA evidence must cover the population.</t>
        </is>
      </c>
    </row>
    <row r="5">
      <c r="A5" s="20" t="inlineStr">
        <is>
          <t>Exceptions</t>
        </is>
      </c>
      <c r="B5" s="21">
        <f>COUNTIF('Test Workpapers'!G2:G6,"Exception")</f>
        <v/>
      </c>
      <c r="D5" s="31" t="inlineStr">
        <is>
          <t>Vulnerability</t>
        </is>
      </c>
      <c r="E5" s="31" t="n">
        <v>2</v>
      </c>
      <c r="F5" s="31" t="n">
        <v>2</v>
      </c>
      <c r="G5" s="31" t="inlineStr">
        <is>
          <t>Known weaknesses must be governed through SLAs.</t>
        </is>
      </c>
      <c r="H5" s="31" t="inlineStr">
        <is>
          <t>A scanner is not a program by itself.</t>
        </is>
      </c>
    </row>
    <row r="6">
      <c r="A6" s="20" t="inlineStr">
        <is>
          <t>High Findings</t>
        </is>
      </c>
      <c r="B6" s="21">
        <f>COUNTIF(Findings!D2:D4,"High")</f>
        <v/>
      </c>
      <c r="D6" s="31" t="inlineStr">
        <is>
          <t>Detection</t>
        </is>
      </c>
      <c r="E6" s="31" t="n">
        <v>1</v>
      </c>
      <c r="F6" s="31" t="n">
        <v>1</v>
      </c>
      <c r="G6" s="31" t="inlineStr">
        <is>
          <t>Logs need owners and alert routing.</t>
        </is>
      </c>
      <c r="H6" s="31" t="inlineStr">
        <is>
          <t>Detection maturity is evidence plus response.</t>
        </is>
      </c>
    </row>
    <row r="7">
      <c r="A7" s="20" t="inlineStr">
        <is>
          <t>Pass Rate</t>
        </is>
      </c>
      <c r="B7" s="33">
        <f>COUNTIF('Test Workpapers'!G2:G6,"Pass")/COUNTA('Test Workpapers'!G2:G6)</f>
        <v/>
      </c>
      <c r="D7" s="31" t="inlineStr">
        <is>
          <t>Response / Recovery</t>
        </is>
      </c>
      <c r="E7" s="31" t="n">
        <v>4</v>
      </c>
      <c r="F7" s="31" t="n">
        <v>0</v>
      </c>
      <c r="G7" s="31" t="inlineStr">
        <is>
          <t>Plans must be exercised and recovery tested.</t>
        </is>
      </c>
      <c r="H7" s="31" t="inlineStr">
        <is>
          <t>A plan without testing is weak evidence.</t>
        </is>
      </c>
    </row>
    <row r="8">
      <c r="A8" s="22" t="inlineStr">
        <is>
          <t>Assessment Date</t>
        </is>
      </c>
      <c r="B8" s="34" t="n">
        <v>46247</v>
      </c>
      <c r="D8" s="31" t="inlineStr">
        <is>
          <t>Vendor / Change</t>
        </is>
      </c>
      <c r="E8" s="31" t="n">
        <v>2</v>
      </c>
      <c r="F8" s="31" t="n">
        <v>1</v>
      </c>
      <c r="G8" s="31" t="inlineStr">
        <is>
          <t>Third parties and change can create hidden risk.</t>
        </is>
      </c>
      <c r="H8" s="31" t="inlineStr">
        <is>
          <t>Conditional approval is a risk decision.</t>
        </is>
      </c>
    </row>
    <row r="9">
      <c r="D9" s="32" t="inlineStr">
        <is>
          <t>Training / Data / Cloud</t>
        </is>
      </c>
      <c r="E9" s="32" t="n">
        <v>3</v>
      </c>
      <c r="F9" s="32" t="n">
        <v>1</v>
      </c>
      <c r="G9" s="32" t="inlineStr">
        <is>
          <t>Control coverage must match business scope.</t>
        </is>
      </c>
      <c r="H9" s="32" t="inlineStr">
        <is>
          <t>Cloud controls need cloud-specific evidence.</t>
        </is>
      </c>
    </row>
  </sheetData>
  <mergeCells count="1">
    <mergeCell ref="A1:H1"/>
  </mergeCells>
  <conditionalFormatting sqref="F4:F9">
    <cfRule type="containsText" priority="1" operator="containsText" dxfId="0" text="High"/>
    <cfRule type="containsText" priority="2" operator="containsText" dxfId="1" text="Medium"/>
    <cfRule type="containsText" priority="3" operator="containsText" dxfId="2" text="Low"/>
    <cfRule type="containsText" priority="4" operator="containsText" dxfId="2" text="Pass"/>
    <cfRule type="containsText" priority="5" operator="containsText" dxfId="0" text="Exception"/>
    <cfRule type="containsText" priority="6" operator="containsText" dxfId="1" text="Partial"/>
  </conditionalFormatting>
  <pageMargins left="0.25" right="0.25" top="0.35" bottom="0.35" header="0.15" footer="0.15"/>
  <pageSetup orientation="landscape" paperSize="1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16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58" customWidth="1" min="3" max="3"/>
    <col width="18" customWidth="1" min="4" max="4"/>
    <col width="24" customWidth="1" min="5" max="5"/>
    <col width="16" customWidth="1" min="6" max="6"/>
    <col width="42" customWidth="1" min="7" max="7"/>
    <col width="34" customWidth="1" min="8" max="8"/>
    <col width="16" customWidth="1" min="9" max="9"/>
    <col width="22" customWidth="1" min="10" max="10"/>
    <col width="22" customWidth="1" min="11" max="11"/>
    <col width="14" customWidth="1" min="12" max="12"/>
  </cols>
  <sheetData>
    <row r="1">
      <c r="A1" s="27" t="inlineStr">
        <is>
          <t>Control ID</t>
        </is>
      </c>
      <c r="B1" s="28" t="inlineStr">
        <is>
          <t>Control Name</t>
        </is>
      </c>
      <c r="C1" s="28" t="inlineStr">
        <is>
          <t>Control Statement</t>
        </is>
      </c>
      <c r="D1" s="28" t="inlineStr">
        <is>
          <t>Domain</t>
        </is>
      </c>
      <c r="E1" s="28" t="inlineStr">
        <is>
          <t>Owner</t>
        </is>
      </c>
      <c r="F1" s="28" t="inlineStr">
        <is>
          <t>Frequency</t>
        </is>
      </c>
      <c r="G1" s="28" t="inlineStr">
        <is>
          <t>Evidence</t>
        </is>
      </c>
      <c r="H1" s="28" t="inlineStr">
        <is>
          <t>NIST Mapping</t>
        </is>
      </c>
      <c r="I1" s="28" t="inlineStr">
        <is>
          <t>CIS</t>
        </is>
      </c>
      <c r="J1" s="28" t="inlineStr">
        <is>
          <t>ISO</t>
        </is>
      </c>
      <c r="K1" s="28" t="inlineStr">
        <is>
          <t>SOC 2</t>
        </is>
      </c>
      <c r="L1" s="29" t="inlineStr">
        <is>
          <t>Risk Tier</t>
        </is>
      </c>
    </row>
    <row r="2">
      <c r="A2" s="30" t="inlineStr">
        <is>
          <t>AC-01</t>
        </is>
      </c>
      <c r="B2" s="30" t="inlineStr">
        <is>
          <t>Multifactor Authentication</t>
        </is>
      </c>
      <c r="C2" s="30" t="inlineStr">
        <is>
          <t>All workforce users use MFA; privileged users use phishing-resistant MFA where supported.</t>
        </is>
      </c>
      <c r="D2" s="30" t="inlineStr">
        <is>
          <t>Identity</t>
        </is>
      </c>
      <c r="E2" s="30" t="inlineStr">
        <is>
          <t>VP of IT</t>
        </is>
      </c>
      <c r="F2" s="30" t="inlineStr">
        <is>
          <t>Continuous</t>
        </is>
      </c>
      <c r="G2" s="30" t="inlineStr">
        <is>
          <t>MFA policy export; enrollment report; exception log</t>
        </is>
      </c>
      <c r="H2" s="30" t="inlineStr">
        <is>
          <t>NIST CSF PR.AA; NIST 800-53 IA-2</t>
        </is>
      </c>
      <c r="I2" s="30" t="inlineStr">
        <is>
          <t>CIS 6</t>
        </is>
      </c>
      <c r="J2" s="30" t="inlineStr">
        <is>
          <t>ISO 27002 5.16, 5.17</t>
        </is>
      </c>
      <c r="K2" s="30" t="inlineStr">
        <is>
          <t>SOC 2 CC6</t>
        </is>
      </c>
      <c r="L2" s="30" t="inlineStr">
        <is>
          <t>High</t>
        </is>
      </c>
    </row>
    <row r="3">
      <c r="A3" s="31" t="inlineStr">
        <is>
          <t>AC-02</t>
        </is>
      </c>
      <c r="B3" s="31" t="inlineStr">
        <is>
          <t>Quarterly Access Review</t>
        </is>
      </c>
      <c r="C3" s="31" t="inlineStr">
        <is>
          <t>Critical application owners review user access quarterly and document removals or approvals.</t>
        </is>
      </c>
      <c r="D3" s="31" t="inlineStr">
        <is>
          <t>Identity</t>
        </is>
      </c>
      <c r="E3" s="31" t="inlineStr">
        <is>
          <t>GRC Lead</t>
        </is>
      </c>
      <c r="F3" s="31" t="inlineStr">
        <is>
          <t>Quarterly</t>
        </is>
      </c>
      <c r="G3" s="31" t="inlineStr">
        <is>
          <t>Access review export; reviewer signoff; remediation evidence</t>
        </is>
      </c>
      <c r="H3" s="31" t="inlineStr">
        <is>
          <t>NIST 800-53 AC-2, AC-6</t>
        </is>
      </c>
      <c r="I3" s="31" t="inlineStr">
        <is>
          <t>CIS 5, 6</t>
        </is>
      </c>
      <c r="J3" s="31" t="inlineStr">
        <is>
          <t>ISO 27002 5.18</t>
        </is>
      </c>
      <c r="K3" s="31" t="inlineStr">
        <is>
          <t>SOC 2 CC6</t>
        </is>
      </c>
      <c r="L3" s="31" t="inlineStr">
        <is>
          <t>High</t>
        </is>
      </c>
    </row>
    <row r="4">
      <c r="A4" s="31" t="inlineStr">
        <is>
          <t>AC-03</t>
        </is>
      </c>
      <c r="B4" s="31" t="inlineStr">
        <is>
          <t>Terminated User Removal</t>
        </is>
      </c>
      <c r="C4" s="31" t="inlineStr">
        <is>
          <t>Departing users are removed from SSO and critical SaaS applications within one business day.</t>
        </is>
      </c>
      <c r="D4" s="31" t="inlineStr">
        <is>
          <t>Identity</t>
        </is>
      </c>
      <c r="E4" s="31" t="inlineStr">
        <is>
          <t>People Ops</t>
        </is>
      </c>
      <c r="F4" s="31" t="inlineStr">
        <is>
          <t>Per termination</t>
        </is>
      </c>
      <c r="G4" s="31" t="inlineStr">
        <is>
          <t>HR termination ticket; SSO deactivation log</t>
        </is>
      </c>
      <c r="H4" s="31" t="inlineStr">
        <is>
          <t>NIST 800-53 PS-4, AC-2</t>
        </is>
      </c>
      <c r="I4" s="31" t="inlineStr">
        <is>
          <t>CIS 5</t>
        </is>
      </c>
      <c r="J4" s="31" t="inlineStr">
        <is>
          <t>ISO 27002 5.18</t>
        </is>
      </c>
      <c r="K4" s="31" t="inlineStr">
        <is>
          <t>SOC 2 CC6</t>
        </is>
      </c>
      <c r="L4" s="31" t="inlineStr">
        <is>
          <t>Medium</t>
        </is>
      </c>
    </row>
    <row r="5">
      <c r="A5" s="31" t="inlineStr">
        <is>
          <t>VM-01</t>
        </is>
      </c>
      <c r="B5" s="31" t="inlineStr">
        <is>
          <t>Vulnerability Scanning</t>
        </is>
      </c>
      <c r="C5" s="31" t="inlineStr">
        <is>
          <t>Production systems are scanned at least monthly and findings are tracked.</t>
        </is>
      </c>
      <c r="D5" s="31" t="inlineStr">
        <is>
          <t>Vulnerability</t>
        </is>
      </c>
      <c r="E5" s="31" t="inlineStr">
        <is>
          <t>Security Engineer</t>
        </is>
      </c>
      <c r="F5" s="31" t="inlineStr">
        <is>
          <t>Monthly</t>
        </is>
      </c>
      <c r="G5" s="31" t="inlineStr">
        <is>
          <t>Scan report; ticket export</t>
        </is>
      </c>
      <c r="H5" s="31" t="inlineStr">
        <is>
          <t>NIST 800-53 RA-5</t>
        </is>
      </c>
      <c r="I5" s="31" t="inlineStr">
        <is>
          <t>CIS 7</t>
        </is>
      </c>
      <c r="J5" s="31" t="inlineStr">
        <is>
          <t>ISO 27002 8.8</t>
        </is>
      </c>
      <c r="K5" s="31" t="inlineStr">
        <is>
          <t>SOC 2 CC7</t>
        </is>
      </c>
      <c r="L5" s="31" t="inlineStr">
        <is>
          <t>High</t>
        </is>
      </c>
    </row>
    <row r="6">
      <c r="A6" s="31" t="inlineStr">
        <is>
          <t>VM-02</t>
        </is>
      </c>
      <c r="B6" s="31" t="inlineStr">
        <is>
          <t>Critical Vulnerability Remediation</t>
        </is>
      </c>
      <c r="C6" s="31" t="inlineStr">
        <is>
          <t>Critical vulnerabilities are remediated or exception-approved within SLA.</t>
        </is>
      </c>
      <c r="D6" s="31" t="inlineStr">
        <is>
          <t>Vulnerability</t>
        </is>
      </c>
      <c r="E6" s="31" t="inlineStr">
        <is>
          <t>Security Engineer</t>
        </is>
      </c>
      <c r="F6" s="31" t="inlineStr">
        <is>
          <t>Monthly</t>
        </is>
      </c>
      <c r="G6" s="31" t="inlineStr">
        <is>
          <t>Aging report; exception approvals</t>
        </is>
      </c>
      <c r="H6" s="31" t="inlineStr">
        <is>
          <t>NIST 800-53 SI-2</t>
        </is>
      </c>
      <c r="I6" s="31" t="inlineStr">
        <is>
          <t>CIS 7</t>
        </is>
      </c>
      <c r="J6" s="31" t="inlineStr">
        <is>
          <t>ISO 27002 8.8</t>
        </is>
      </c>
      <c r="K6" s="31" t="inlineStr">
        <is>
          <t>SOC 2 CC7</t>
        </is>
      </c>
      <c r="L6" s="31" t="inlineStr">
        <is>
          <t>High</t>
        </is>
      </c>
    </row>
    <row r="7">
      <c r="A7" s="31" t="inlineStr">
        <is>
          <t>LOG-01</t>
        </is>
      </c>
      <c r="B7" s="31" t="inlineStr">
        <is>
          <t>Security Logging</t>
        </is>
      </c>
      <c r="C7" s="31" t="inlineStr">
        <is>
          <t>Critical cloud, identity, and SaaS logs are enabled, retained, and monitored.</t>
        </is>
      </c>
      <c r="D7" s="31" t="inlineStr">
        <is>
          <t>Detection</t>
        </is>
      </c>
      <c r="E7" s="31" t="inlineStr">
        <is>
          <t>Security Operations</t>
        </is>
      </c>
      <c r="F7" s="31" t="inlineStr">
        <is>
          <t>Continuous</t>
        </is>
      </c>
      <c r="G7" s="31" t="inlineStr">
        <is>
          <t>Log source inventory; alert routing matrix</t>
        </is>
      </c>
      <c r="H7" s="31" t="inlineStr">
        <is>
          <t>NIST 800-53 AU-6, SI-4</t>
        </is>
      </c>
      <c r="I7" s="31" t="inlineStr">
        <is>
          <t>CIS 8</t>
        </is>
      </c>
      <c r="J7" s="31" t="inlineStr">
        <is>
          <t>ISO 27002 8.15</t>
        </is>
      </c>
      <c r="K7" s="31" t="inlineStr">
        <is>
          <t>SOC 2 CC7</t>
        </is>
      </c>
      <c r="L7" s="31" t="inlineStr">
        <is>
          <t>High</t>
        </is>
      </c>
    </row>
    <row r="8">
      <c r="A8" s="31" t="inlineStr">
        <is>
          <t>IR-01</t>
        </is>
      </c>
      <c r="B8" s="31" t="inlineStr">
        <is>
          <t>Incident Response Plan</t>
        </is>
      </c>
      <c r="C8" s="31" t="inlineStr">
        <is>
          <t>Incident-response plan defines roles, escalation, communications, and evidence retention.</t>
        </is>
      </c>
      <c r="D8" s="31" t="inlineStr">
        <is>
          <t>Response</t>
        </is>
      </c>
      <c r="E8" s="31" t="inlineStr">
        <is>
          <t>CISO</t>
        </is>
      </c>
      <c r="F8" s="31" t="inlineStr">
        <is>
          <t>Annual</t>
        </is>
      </c>
      <c r="G8" s="31" t="inlineStr">
        <is>
          <t>IR plan; approval record</t>
        </is>
      </c>
      <c r="H8" s="31" t="inlineStr">
        <is>
          <t>NIST 800-53 IR-4; NIST SP 800-61</t>
        </is>
      </c>
      <c r="I8" s="31" t="inlineStr">
        <is>
          <t>CIS 17</t>
        </is>
      </c>
      <c r="J8" s="31" t="inlineStr">
        <is>
          <t>ISO 27002 5.24</t>
        </is>
      </c>
      <c r="K8" s="31" t="inlineStr">
        <is>
          <t>SOC 2 CC7</t>
        </is>
      </c>
      <c r="L8" s="31" t="inlineStr">
        <is>
          <t>Medium</t>
        </is>
      </c>
    </row>
    <row r="9">
      <c r="A9" s="31" t="inlineStr">
        <is>
          <t>IR-02</t>
        </is>
      </c>
      <c r="B9" s="31" t="inlineStr">
        <is>
          <t>Incident Tabletop Exercise</t>
        </is>
      </c>
      <c r="C9" s="31" t="inlineStr">
        <is>
          <t>Pinecastle performs an annual tabletop exercise and tracks lessons learned.</t>
        </is>
      </c>
      <c r="D9" s="31" t="inlineStr">
        <is>
          <t>Response</t>
        </is>
      </c>
      <c r="E9" s="31" t="inlineStr">
        <is>
          <t>CISO</t>
        </is>
      </c>
      <c r="F9" s="31" t="inlineStr">
        <is>
          <t>Annual</t>
        </is>
      </c>
      <c r="G9" s="31" t="inlineStr">
        <is>
          <t>Exercise agenda; participant list; lessons learned</t>
        </is>
      </c>
      <c r="H9" s="31" t="inlineStr">
        <is>
          <t>NIST 800-53 IR-3</t>
        </is>
      </c>
      <c r="I9" s="31" t="inlineStr">
        <is>
          <t>CIS 17</t>
        </is>
      </c>
      <c r="J9" s="31" t="inlineStr">
        <is>
          <t>ISO 27002 5.24</t>
        </is>
      </c>
      <c r="K9" s="31" t="inlineStr">
        <is>
          <t>SOC 2 CC7</t>
        </is>
      </c>
      <c r="L9" s="31" t="inlineStr">
        <is>
          <t>Medium</t>
        </is>
      </c>
    </row>
    <row r="10">
      <c r="A10" s="31" t="inlineStr">
        <is>
          <t>BC-01</t>
        </is>
      </c>
      <c r="B10" s="31" t="inlineStr">
        <is>
          <t>Backup Monitoring</t>
        </is>
      </c>
      <c r="C10" s="31" t="inlineStr">
        <is>
          <t>Critical backups are monitored and failures are remediated.</t>
        </is>
      </c>
      <c r="D10" s="31" t="inlineStr">
        <is>
          <t>Recovery</t>
        </is>
      </c>
      <c r="E10" s="31" t="inlineStr">
        <is>
          <t>Infrastructure</t>
        </is>
      </c>
      <c r="F10" s="31" t="inlineStr">
        <is>
          <t>Daily</t>
        </is>
      </c>
      <c r="G10" s="31" t="inlineStr">
        <is>
          <t>Backup job logs; failure tickets</t>
        </is>
      </c>
      <c r="H10" s="31" t="inlineStr">
        <is>
          <t>NIST 800-53 CP-9</t>
        </is>
      </c>
      <c r="I10" s="31" t="inlineStr">
        <is>
          <t>CIS 11</t>
        </is>
      </c>
      <c r="J10" s="31" t="inlineStr">
        <is>
          <t>ISO 27002 8.13</t>
        </is>
      </c>
      <c r="K10" s="31" t="inlineStr">
        <is>
          <t>SOC 2 A1</t>
        </is>
      </c>
      <c r="L10" s="31" t="inlineStr">
        <is>
          <t>Medium</t>
        </is>
      </c>
    </row>
    <row r="11">
      <c r="A11" s="31" t="inlineStr">
        <is>
          <t>BC-02</t>
        </is>
      </c>
      <c r="B11" s="31" t="inlineStr">
        <is>
          <t>Backup Restoration Test</t>
        </is>
      </c>
      <c r="C11" s="31" t="inlineStr">
        <is>
          <t>Backup restoration is tested at least annually.</t>
        </is>
      </c>
      <c r="D11" s="31" t="inlineStr">
        <is>
          <t>Recovery</t>
        </is>
      </c>
      <c r="E11" s="31" t="inlineStr">
        <is>
          <t>Infrastructure</t>
        </is>
      </c>
      <c r="F11" s="31" t="inlineStr">
        <is>
          <t>Annual</t>
        </is>
      </c>
      <c r="G11" s="31" t="inlineStr">
        <is>
          <t>Restore test record; RTO/RPO results</t>
        </is>
      </c>
      <c r="H11" s="31" t="inlineStr">
        <is>
          <t>NIST 800-53 CP-10</t>
        </is>
      </c>
      <c r="I11" s="31" t="inlineStr">
        <is>
          <t>CIS 11</t>
        </is>
      </c>
      <c r="J11" s="31" t="inlineStr">
        <is>
          <t>ISO 27002 8.13</t>
        </is>
      </c>
      <c r="K11" s="31" t="inlineStr">
        <is>
          <t>SOC 2 A1</t>
        </is>
      </c>
      <c r="L11" s="31" t="inlineStr">
        <is>
          <t>Medium</t>
        </is>
      </c>
    </row>
    <row r="12">
      <c r="A12" s="31" t="inlineStr">
        <is>
          <t>TPRM-01</t>
        </is>
      </c>
      <c r="B12" s="31" t="inlineStr">
        <is>
          <t>Critical Vendor Review</t>
        </is>
      </c>
      <c r="C12" s="31" t="inlineStr">
        <is>
          <t>Critical vendors are assessed before onboarding and annually thereafter.</t>
        </is>
      </c>
      <c r="D12" s="31" t="inlineStr">
        <is>
          <t>Vendor Risk</t>
        </is>
      </c>
      <c r="E12" s="31" t="inlineStr">
        <is>
          <t>GRC Lead</t>
        </is>
      </c>
      <c r="F12" s="31" t="inlineStr">
        <is>
          <t>Annual</t>
        </is>
      </c>
      <c r="G12" s="31" t="inlineStr">
        <is>
          <t>Vendor assessment; SOC report; findings register</t>
        </is>
      </c>
      <c r="H12" s="31" t="inlineStr">
        <is>
          <t>NIST SP 800-161; NIST CSF GV.SC</t>
        </is>
      </c>
      <c r="I12" s="31" t="inlineStr">
        <is>
          <t>CIS 15</t>
        </is>
      </c>
      <c r="J12" s="31" t="inlineStr">
        <is>
          <t>ISO 27002 5.19</t>
        </is>
      </c>
      <c r="K12" s="31" t="inlineStr">
        <is>
          <t>SOC 2 CC9</t>
        </is>
      </c>
      <c r="L12" s="31" t="inlineStr">
        <is>
          <t>High</t>
        </is>
      </c>
    </row>
    <row r="13">
      <c r="A13" s="31" t="inlineStr">
        <is>
          <t>CHG-01</t>
        </is>
      </c>
      <c r="B13" s="31" t="inlineStr">
        <is>
          <t>Production Change Approval</t>
        </is>
      </c>
      <c r="C13" s="31" t="inlineStr">
        <is>
          <t>Production changes require review, approval, and emergency post-review.</t>
        </is>
      </c>
      <c r="D13" s="31" t="inlineStr">
        <is>
          <t>Change</t>
        </is>
      </c>
      <c r="E13" s="31" t="inlineStr">
        <is>
          <t>Engineering Manager</t>
        </is>
      </c>
      <c r="F13" s="31" t="inlineStr">
        <is>
          <t>Per change</t>
        </is>
      </c>
      <c r="G13" s="31" t="inlineStr">
        <is>
          <t>Pull request; approval; emergency review record</t>
        </is>
      </c>
      <c r="H13" s="31" t="inlineStr">
        <is>
          <t>NIST 800-53 CM-3</t>
        </is>
      </c>
      <c r="I13" s="31" t="inlineStr">
        <is>
          <t>CIS 4</t>
        </is>
      </c>
      <c r="J13" s="31" t="inlineStr">
        <is>
          <t>ISO 27002 8.32</t>
        </is>
      </c>
      <c r="K13" s="31" t="inlineStr">
        <is>
          <t>SOC 2 CC8</t>
        </is>
      </c>
      <c r="L13" s="31" t="inlineStr">
        <is>
          <t>Medium</t>
        </is>
      </c>
    </row>
    <row r="14">
      <c r="A14" s="31" t="inlineStr">
        <is>
          <t>SEC-01</t>
        </is>
      </c>
      <c r="B14" s="31" t="inlineStr">
        <is>
          <t>Security Awareness Training</t>
        </is>
      </c>
      <c r="C14" s="31" t="inlineStr">
        <is>
          <t>Employees and contractors complete annual security awareness training.</t>
        </is>
      </c>
      <c r="D14" s="31" t="inlineStr">
        <is>
          <t>Training</t>
        </is>
      </c>
      <c r="E14" s="31" t="inlineStr">
        <is>
          <t>People Ops</t>
        </is>
      </c>
      <c r="F14" s="31" t="inlineStr">
        <is>
          <t>Annual</t>
        </is>
      </c>
      <c r="G14" s="31" t="inlineStr">
        <is>
          <t>Training completion report</t>
        </is>
      </c>
      <c r="H14" s="31" t="inlineStr">
        <is>
          <t>NIST 800-53 AT-2</t>
        </is>
      </c>
      <c r="I14" s="31" t="inlineStr">
        <is>
          <t>CIS 14</t>
        </is>
      </c>
      <c r="J14" s="31" t="inlineStr">
        <is>
          <t>ISO 27002 6.3</t>
        </is>
      </c>
      <c r="K14" s="31" t="inlineStr">
        <is>
          <t>SOC 2 CC2</t>
        </is>
      </c>
      <c r="L14" s="31" t="inlineStr">
        <is>
          <t>Medium</t>
        </is>
      </c>
    </row>
    <row r="15">
      <c r="A15" s="31" t="inlineStr">
        <is>
          <t>DATA-01</t>
        </is>
      </c>
      <c r="B15" s="31" t="inlineStr">
        <is>
          <t>Data Retention and Disposal</t>
        </is>
      </c>
      <c r="C15" s="31" t="inlineStr">
        <is>
          <t>Customer data retention and deletion are documented and periodically reviewed.</t>
        </is>
      </c>
      <c r="D15" s="31" t="inlineStr">
        <is>
          <t>Data Protection</t>
        </is>
      </c>
      <c r="E15" s="31" t="inlineStr">
        <is>
          <t>Legal / Privacy</t>
        </is>
      </c>
      <c r="F15" s="31" t="inlineStr">
        <is>
          <t>Annual</t>
        </is>
      </c>
      <c r="G15" s="31" t="inlineStr">
        <is>
          <t>Retention matrix; deletion evidence</t>
        </is>
      </c>
      <c r="H15" s="31" t="inlineStr">
        <is>
          <t>NIST 800-53 SI-12</t>
        </is>
      </c>
      <c r="I15" s="31" t="inlineStr">
        <is>
          <t>CIS 3</t>
        </is>
      </c>
      <c r="J15" s="31" t="inlineStr">
        <is>
          <t>ISO 27002 5.33</t>
        </is>
      </c>
      <c r="K15" s="31" t="inlineStr">
        <is>
          <t>SOC 2 Confidentiality</t>
        </is>
      </c>
      <c r="L15" s="31" t="inlineStr">
        <is>
          <t>Medium</t>
        </is>
      </c>
    </row>
    <row r="16">
      <c r="A16" s="32" t="inlineStr">
        <is>
          <t>CLD-01</t>
        </is>
      </c>
      <c r="B16" s="32" t="inlineStr">
        <is>
          <t>Cloud Configuration Monitoring</t>
        </is>
      </c>
      <c r="C16" s="32" t="inlineStr">
        <is>
          <t>Cloud configuration baselines are monitored and exceptions are reviewed.</t>
        </is>
      </c>
      <c r="D16" s="32" t="inlineStr">
        <is>
          <t>Cloud Security</t>
        </is>
      </c>
      <c r="E16" s="32" t="inlineStr">
        <is>
          <t>Cloud Engineering</t>
        </is>
      </c>
      <c r="F16" s="32" t="inlineStr">
        <is>
          <t>Monthly</t>
        </is>
      </c>
      <c r="G16" s="32" t="inlineStr">
        <is>
          <t>Configuration alerts; exception review</t>
        </is>
      </c>
      <c r="H16" s="32" t="inlineStr">
        <is>
          <t>NIST 800-53 CM-2, AC-3</t>
        </is>
      </c>
      <c r="I16" s="32" t="inlineStr">
        <is>
          <t>CIS 4</t>
        </is>
      </c>
      <c r="J16" s="32" t="inlineStr">
        <is>
          <t>ISO 27017:2026</t>
        </is>
      </c>
      <c r="K16" s="32" t="inlineStr">
        <is>
          <t>SOC 2 CC7</t>
        </is>
      </c>
      <c r="L16" s="32" t="inlineStr">
        <is>
          <t>High</t>
        </is>
      </c>
    </row>
  </sheetData>
  <conditionalFormatting sqref="L2:L16">
    <cfRule type="containsText" priority="1" operator="containsText" dxfId="0" text="High"/>
    <cfRule type="containsText" priority="2" operator="containsText" dxfId="1" text="Medium"/>
    <cfRule type="containsText" priority="3" operator="containsText" dxfId="2" text="Low"/>
    <cfRule type="containsText" priority="4" operator="containsText" dxfId="2" text="Pass"/>
    <cfRule type="containsText" priority="5" operator="containsText" dxfId="0" text="Exception"/>
    <cfRule type="containsText" priority="6" operator="containsText" dxfId="1" text="Partial"/>
  </conditionalFormatting>
  <pageMargins left="0.25" right="0.25" top="0.35" bottom="0.35" header="0.15" footer="0.15"/>
  <pageSetup orientation="landscape" paperSize="5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16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34" customWidth="1" min="3" max="3"/>
    <col width="18" customWidth="1" min="4" max="4"/>
    <col width="28" customWidth="1" min="5" max="5"/>
    <col width="28" customWidth="1" min="6" max="6"/>
    <col width="26" customWidth="1" min="7" max="7"/>
    <col width="54" customWidth="1" min="8" max="8"/>
  </cols>
  <sheetData>
    <row r="1">
      <c r="A1" s="27" t="inlineStr">
        <is>
          <t>Control ID</t>
        </is>
      </c>
      <c r="B1" s="28" t="inlineStr">
        <is>
          <t>Control Name</t>
        </is>
      </c>
      <c r="C1" s="28" t="inlineStr">
        <is>
          <t>NIST CSF / 800-53</t>
        </is>
      </c>
      <c r="D1" s="28" t="inlineStr">
        <is>
          <t>CIS v8.1</t>
        </is>
      </c>
      <c r="E1" s="28" t="inlineStr">
        <is>
          <t>ISO 27001/27002</t>
        </is>
      </c>
      <c r="F1" s="28" t="inlineStr">
        <is>
          <t>SOC 2 / AICPA TSC</t>
        </is>
      </c>
      <c r="G1" s="28" t="inlineStr">
        <is>
          <t>Cloud / Supply Chain Note</t>
        </is>
      </c>
      <c r="H1" s="29" t="inlineStr">
        <is>
          <t>Why This Mapping Stands Out</t>
        </is>
      </c>
    </row>
    <row r="2">
      <c r="A2" s="30" t="inlineStr">
        <is>
          <t>AC-01</t>
        </is>
      </c>
      <c r="B2" s="30" t="inlineStr">
        <is>
          <t>Multifactor Authentication</t>
        </is>
      </c>
      <c r="C2" s="30" t="inlineStr">
        <is>
          <t>NIST CSF PR.AA; NIST 800-53 IA-2</t>
        </is>
      </c>
      <c r="D2" s="30" t="inlineStr">
        <is>
          <t>CIS 6</t>
        </is>
      </c>
      <c r="E2" s="30" t="inlineStr">
        <is>
          <t>ISO 27002 5.16, 5.17</t>
        </is>
      </c>
      <c r="F2" s="30" t="inlineStr">
        <is>
          <t>SOC 2 CC6</t>
        </is>
      </c>
      <c r="G2" s="30" t="inlineStr">
        <is>
          <t>N/A</t>
        </is>
      </c>
      <c r="H2" s="30" t="inlineStr">
        <is>
          <t>One internal control can satisfy multiple external obligations when evidence is well designed.</t>
        </is>
      </c>
    </row>
    <row r="3">
      <c r="A3" s="31" t="inlineStr">
        <is>
          <t>AC-02</t>
        </is>
      </c>
      <c r="B3" s="31" t="inlineStr">
        <is>
          <t>Quarterly Access Review</t>
        </is>
      </c>
      <c r="C3" s="31" t="inlineStr">
        <is>
          <t>NIST 800-53 AC-2, AC-6</t>
        </is>
      </c>
      <c r="D3" s="31" t="inlineStr">
        <is>
          <t>CIS 5, 6</t>
        </is>
      </c>
      <c r="E3" s="31" t="inlineStr">
        <is>
          <t>ISO 27002 5.18</t>
        </is>
      </c>
      <c r="F3" s="31" t="inlineStr">
        <is>
          <t>SOC 2 CC6</t>
        </is>
      </c>
      <c r="G3" s="31" t="inlineStr">
        <is>
          <t>N/A</t>
        </is>
      </c>
      <c r="H3" s="31" t="inlineStr">
        <is>
          <t>One internal control can satisfy multiple external obligations when evidence is well designed.</t>
        </is>
      </c>
    </row>
    <row r="4">
      <c r="A4" s="31" t="inlineStr">
        <is>
          <t>AC-03</t>
        </is>
      </c>
      <c r="B4" s="31" t="inlineStr">
        <is>
          <t>Terminated User Removal</t>
        </is>
      </c>
      <c r="C4" s="31" t="inlineStr">
        <is>
          <t>NIST 800-53 PS-4, AC-2</t>
        </is>
      </c>
      <c r="D4" s="31" t="inlineStr">
        <is>
          <t>CIS 5</t>
        </is>
      </c>
      <c r="E4" s="31" t="inlineStr">
        <is>
          <t>ISO 27002 5.18</t>
        </is>
      </c>
      <c r="F4" s="31" t="inlineStr">
        <is>
          <t>SOC 2 CC6</t>
        </is>
      </c>
      <c r="G4" s="31" t="inlineStr">
        <is>
          <t>N/A</t>
        </is>
      </c>
      <c r="H4" s="31" t="inlineStr">
        <is>
          <t>One internal control can satisfy multiple external obligations when evidence is well designed.</t>
        </is>
      </c>
    </row>
    <row r="5">
      <c r="A5" s="31" t="inlineStr">
        <is>
          <t>VM-01</t>
        </is>
      </c>
      <c r="B5" s="31" t="inlineStr">
        <is>
          <t>Vulnerability Scanning</t>
        </is>
      </c>
      <c r="C5" s="31" t="inlineStr">
        <is>
          <t>NIST 800-53 RA-5</t>
        </is>
      </c>
      <c r="D5" s="31" t="inlineStr">
        <is>
          <t>CIS 7</t>
        </is>
      </c>
      <c r="E5" s="31" t="inlineStr">
        <is>
          <t>ISO 27002 8.8</t>
        </is>
      </c>
      <c r="F5" s="31" t="inlineStr">
        <is>
          <t>SOC 2 CC7</t>
        </is>
      </c>
      <c r="G5" s="31" t="inlineStr">
        <is>
          <t>N/A</t>
        </is>
      </c>
      <c r="H5" s="31" t="inlineStr">
        <is>
          <t>One internal control can satisfy multiple external obligations when evidence is well designed.</t>
        </is>
      </c>
    </row>
    <row r="6">
      <c r="A6" s="31" t="inlineStr">
        <is>
          <t>VM-02</t>
        </is>
      </c>
      <c r="B6" s="31" t="inlineStr">
        <is>
          <t>Critical Vulnerability Remediation</t>
        </is>
      </c>
      <c r="C6" s="31" t="inlineStr">
        <is>
          <t>NIST 800-53 SI-2</t>
        </is>
      </c>
      <c r="D6" s="31" t="inlineStr">
        <is>
          <t>CIS 7</t>
        </is>
      </c>
      <c r="E6" s="31" t="inlineStr">
        <is>
          <t>ISO 27002 8.8</t>
        </is>
      </c>
      <c r="F6" s="31" t="inlineStr">
        <is>
          <t>SOC 2 CC7</t>
        </is>
      </c>
      <c r="G6" s="31" t="inlineStr">
        <is>
          <t>N/A</t>
        </is>
      </c>
      <c r="H6" s="31" t="inlineStr">
        <is>
          <t>One internal control can satisfy multiple external obligations when evidence is well designed.</t>
        </is>
      </c>
    </row>
    <row r="7">
      <c r="A7" s="31" t="inlineStr">
        <is>
          <t>LOG-01</t>
        </is>
      </c>
      <c r="B7" s="31" t="inlineStr">
        <is>
          <t>Security Logging</t>
        </is>
      </c>
      <c r="C7" s="31" t="inlineStr">
        <is>
          <t>NIST 800-53 AU-6, SI-4</t>
        </is>
      </c>
      <c r="D7" s="31" t="inlineStr">
        <is>
          <t>CIS 8</t>
        </is>
      </c>
      <c r="E7" s="31" t="inlineStr">
        <is>
          <t>ISO 27002 8.15</t>
        </is>
      </c>
      <c r="F7" s="31" t="inlineStr">
        <is>
          <t>SOC 2 CC7</t>
        </is>
      </c>
      <c r="G7" s="31" t="inlineStr">
        <is>
          <t>N/A</t>
        </is>
      </c>
      <c r="H7" s="31" t="inlineStr">
        <is>
          <t>One internal control can satisfy multiple external obligations when evidence is well designed.</t>
        </is>
      </c>
    </row>
    <row r="8">
      <c r="A8" s="31" t="inlineStr">
        <is>
          <t>IR-01</t>
        </is>
      </c>
      <c r="B8" s="31" t="inlineStr">
        <is>
          <t>Incident Response Plan</t>
        </is>
      </c>
      <c r="C8" s="31" t="inlineStr">
        <is>
          <t>NIST 800-53 IR-4; NIST SP 800-61</t>
        </is>
      </c>
      <c r="D8" s="31" t="inlineStr">
        <is>
          <t>CIS 17</t>
        </is>
      </c>
      <c r="E8" s="31" t="inlineStr">
        <is>
          <t>ISO 27002 5.24</t>
        </is>
      </c>
      <c r="F8" s="31" t="inlineStr">
        <is>
          <t>SOC 2 CC7</t>
        </is>
      </c>
      <c r="G8" s="31" t="inlineStr">
        <is>
          <t>N/A</t>
        </is>
      </c>
      <c r="H8" s="31" t="inlineStr">
        <is>
          <t>One internal control can satisfy multiple external obligations when evidence is well designed.</t>
        </is>
      </c>
    </row>
    <row r="9">
      <c r="A9" s="31" t="inlineStr">
        <is>
          <t>IR-02</t>
        </is>
      </c>
      <c r="B9" s="31" t="inlineStr">
        <is>
          <t>Incident Tabletop Exercise</t>
        </is>
      </c>
      <c r="C9" s="31" t="inlineStr">
        <is>
          <t>NIST 800-53 IR-3</t>
        </is>
      </c>
      <c r="D9" s="31" t="inlineStr">
        <is>
          <t>CIS 17</t>
        </is>
      </c>
      <c r="E9" s="31" t="inlineStr">
        <is>
          <t>ISO 27002 5.24</t>
        </is>
      </c>
      <c r="F9" s="31" t="inlineStr">
        <is>
          <t>SOC 2 CC7</t>
        </is>
      </c>
      <c r="G9" s="31" t="inlineStr">
        <is>
          <t>N/A</t>
        </is>
      </c>
      <c r="H9" s="31" t="inlineStr">
        <is>
          <t>One internal control can satisfy multiple external obligations when evidence is well designed.</t>
        </is>
      </c>
    </row>
    <row r="10">
      <c r="A10" s="31" t="inlineStr">
        <is>
          <t>BC-01</t>
        </is>
      </c>
      <c r="B10" s="31" t="inlineStr">
        <is>
          <t>Backup Monitoring</t>
        </is>
      </c>
      <c r="C10" s="31" t="inlineStr">
        <is>
          <t>NIST 800-53 CP-9</t>
        </is>
      </c>
      <c r="D10" s="31" t="inlineStr">
        <is>
          <t>CIS 11</t>
        </is>
      </c>
      <c r="E10" s="31" t="inlineStr">
        <is>
          <t>ISO 27002 8.13</t>
        </is>
      </c>
      <c r="F10" s="31" t="inlineStr">
        <is>
          <t>SOC 2 A1</t>
        </is>
      </c>
      <c r="G10" s="31" t="inlineStr">
        <is>
          <t>N/A</t>
        </is>
      </c>
      <c r="H10" s="31" t="inlineStr">
        <is>
          <t>One internal control can satisfy multiple external obligations when evidence is well designed.</t>
        </is>
      </c>
    </row>
    <row r="11">
      <c r="A11" s="31" t="inlineStr">
        <is>
          <t>BC-02</t>
        </is>
      </c>
      <c r="B11" s="31" t="inlineStr">
        <is>
          <t>Backup Restoration Test</t>
        </is>
      </c>
      <c r="C11" s="31" t="inlineStr">
        <is>
          <t>NIST 800-53 CP-10</t>
        </is>
      </c>
      <c r="D11" s="31" t="inlineStr">
        <is>
          <t>CIS 11</t>
        </is>
      </c>
      <c r="E11" s="31" t="inlineStr">
        <is>
          <t>ISO 27002 8.13</t>
        </is>
      </c>
      <c r="F11" s="31" t="inlineStr">
        <is>
          <t>SOC 2 A1</t>
        </is>
      </c>
      <c r="G11" s="31" t="inlineStr">
        <is>
          <t>N/A</t>
        </is>
      </c>
      <c r="H11" s="31" t="inlineStr">
        <is>
          <t>One internal control can satisfy multiple external obligations when evidence is well designed.</t>
        </is>
      </c>
    </row>
    <row r="12">
      <c r="A12" s="31" t="inlineStr">
        <is>
          <t>TPRM-01</t>
        </is>
      </c>
      <c r="B12" s="31" t="inlineStr">
        <is>
          <t>Critical Vendor Review</t>
        </is>
      </c>
      <c r="C12" s="31" t="inlineStr">
        <is>
          <t>NIST SP 800-161; NIST CSF GV.SC</t>
        </is>
      </c>
      <c r="D12" s="31" t="inlineStr">
        <is>
          <t>CIS 15</t>
        </is>
      </c>
      <c r="E12" s="31" t="inlineStr">
        <is>
          <t>ISO 27002 5.19</t>
        </is>
      </c>
      <c r="F12" s="31" t="inlineStr">
        <is>
          <t>SOC 2 CC9</t>
        </is>
      </c>
      <c r="G12" s="31" t="inlineStr">
        <is>
          <t>NIST 800-161 supply chain</t>
        </is>
      </c>
      <c r="H12" s="31" t="inlineStr">
        <is>
          <t>One internal control can satisfy multiple external obligations when evidence is well designed.</t>
        </is>
      </c>
    </row>
    <row r="13">
      <c r="A13" s="31" t="inlineStr">
        <is>
          <t>CHG-01</t>
        </is>
      </c>
      <c r="B13" s="31" t="inlineStr">
        <is>
          <t>Production Change Approval</t>
        </is>
      </c>
      <c r="C13" s="31" t="inlineStr">
        <is>
          <t>NIST 800-53 CM-3</t>
        </is>
      </c>
      <c r="D13" s="31" t="inlineStr">
        <is>
          <t>CIS 4</t>
        </is>
      </c>
      <c r="E13" s="31" t="inlineStr">
        <is>
          <t>ISO 27002 8.32</t>
        </is>
      </c>
      <c r="F13" s="31" t="inlineStr">
        <is>
          <t>SOC 2 CC8</t>
        </is>
      </c>
      <c r="G13" s="31" t="inlineStr">
        <is>
          <t>N/A</t>
        </is>
      </c>
      <c r="H13" s="31" t="inlineStr">
        <is>
          <t>One internal control can satisfy multiple external obligations when evidence is well designed.</t>
        </is>
      </c>
    </row>
    <row r="14">
      <c r="A14" s="31" t="inlineStr">
        <is>
          <t>SEC-01</t>
        </is>
      </c>
      <c r="B14" s="31" t="inlineStr">
        <is>
          <t>Security Awareness Training</t>
        </is>
      </c>
      <c r="C14" s="31" t="inlineStr">
        <is>
          <t>NIST 800-53 AT-2</t>
        </is>
      </c>
      <c r="D14" s="31" t="inlineStr">
        <is>
          <t>CIS 14</t>
        </is>
      </c>
      <c r="E14" s="31" t="inlineStr">
        <is>
          <t>ISO 27002 6.3</t>
        </is>
      </c>
      <c r="F14" s="31" t="inlineStr">
        <is>
          <t>SOC 2 CC2</t>
        </is>
      </c>
      <c r="G14" s="31" t="inlineStr">
        <is>
          <t>N/A</t>
        </is>
      </c>
      <c r="H14" s="31" t="inlineStr">
        <is>
          <t>One internal control can satisfy multiple external obligations when evidence is well designed.</t>
        </is>
      </c>
    </row>
    <row r="15">
      <c r="A15" s="31" t="inlineStr">
        <is>
          <t>DATA-01</t>
        </is>
      </c>
      <c r="B15" s="31" t="inlineStr">
        <is>
          <t>Data Retention and Disposal</t>
        </is>
      </c>
      <c r="C15" s="31" t="inlineStr">
        <is>
          <t>NIST 800-53 SI-12</t>
        </is>
      </c>
      <c r="D15" s="31" t="inlineStr">
        <is>
          <t>CIS 3</t>
        </is>
      </c>
      <c r="E15" s="31" t="inlineStr">
        <is>
          <t>ISO 27002 5.33</t>
        </is>
      </c>
      <c r="F15" s="31" t="inlineStr">
        <is>
          <t>SOC 2 Confidentiality</t>
        </is>
      </c>
      <c r="G15" s="31" t="inlineStr">
        <is>
          <t>N/A</t>
        </is>
      </c>
      <c r="H15" s="31" t="inlineStr">
        <is>
          <t>One internal control can satisfy multiple external obligations when evidence is well designed.</t>
        </is>
      </c>
    </row>
    <row r="16">
      <c r="A16" s="32" t="inlineStr">
        <is>
          <t>CLD-01</t>
        </is>
      </c>
      <c r="B16" s="32" t="inlineStr">
        <is>
          <t>Cloud Configuration Monitoring</t>
        </is>
      </c>
      <c r="C16" s="32" t="inlineStr">
        <is>
          <t>NIST 800-53 CM-2, AC-3</t>
        </is>
      </c>
      <c r="D16" s="32" t="inlineStr">
        <is>
          <t>CIS 4</t>
        </is>
      </c>
      <c r="E16" s="32" t="inlineStr">
        <is>
          <t>ISO 27017:2026</t>
        </is>
      </c>
      <c r="F16" s="32" t="inlineStr">
        <is>
          <t>SOC 2 CC7</t>
        </is>
      </c>
      <c r="G16" s="32" t="inlineStr">
        <is>
          <t>ISO 27017 cloud-specific</t>
        </is>
      </c>
      <c r="H16" s="32" t="inlineStr">
        <is>
          <t>One internal control can satisfy multiple external obligations when evidence is well designed.</t>
        </is>
      </c>
    </row>
  </sheetData>
  <pageMargins left="0.25" right="0.25" top="0.35" bottom="0.35" header="0.15" footer="0.15"/>
  <pageSetup orientation="landscape" paperSize="1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J6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52" customWidth="1" min="3" max="3"/>
    <col width="40" customWidth="1" min="4" max="4"/>
    <col width="14" customWidth="1" min="5" max="5"/>
    <col width="12" customWidth="1" min="6" max="6"/>
    <col width="16" customWidth="1" min="7" max="7"/>
    <col width="44" customWidth="1" min="8" max="8"/>
    <col width="14" customWidth="1" min="9" max="9"/>
    <col width="44" customWidth="1" min="10" max="10"/>
  </cols>
  <sheetData>
    <row r="1">
      <c r="A1" s="27" t="inlineStr">
        <is>
          <t>Control ID</t>
        </is>
      </c>
      <c r="B1" s="28" t="inlineStr">
        <is>
          <t>Control</t>
        </is>
      </c>
      <c r="C1" s="28" t="inlineStr">
        <is>
          <t>Test Procedure</t>
        </is>
      </c>
      <c r="D1" s="28" t="inlineStr">
        <is>
          <t>Evidence Reviewed</t>
        </is>
      </c>
      <c r="E1" s="28" t="inlineStr">
        <is>
          <t>Sample Size</t>
        </is>
      </c>
      <c r="F1" s="28" t="inlineStr">
        <is>
          <t>Pass Count</t>
        </is>
      </c>
      <c r="G1" s="28" t="inlineStr">
        <is>
          <t>Conclusion</t>
        </is>
      </c>
      <c r="H1" s="28" t="inlineStr">
        <is>
          <t>Exception</t>
        </is>
      </c>
      <c r="I1" s="28" t="inlineStr">
        <is>
          <t>Severity</t>
        </is>
      </c>
      <c r="J1" s="29" t="inlineStr">
        <is>
          <t>Remediation</t>
        </is>
      </c>
    </row>
    <row r="2">
      <c r="A2" s="30" t="inlineStr">
        <is>
          <t>AC-01</t>
        </is>
      </c>
      <c r="B2" s="30" t="inlineStr">
        <is>
          <t>MFA Enforcement</t>
        </is>
      </c>
      <c r="C2" s="30" t="inlineStr">
        <is>
          <t>Inspect IdP policy and sample 25 users including all privileged users.</t>
        </is>
      </c>
      <c r="D2" s="30" t="inlineStr">
        <is>
          <t>MFA policy export; user enrollment report</t>
        </is>
      </c>
      <c r="E2" s="30" t="n">
        <v>25</v>
      </c>
      <c r="F2" s="30" t="n">
        <v>23</v>
      </c>
      <c r="G2" s="30" t="inlineStr">
        <is>
          <t>Exception</t>
        </is>
      </c>
      <c r="H2" s="30" t="inlineStr">
        <is>
          <t>Two contractor accounts lacked MFA evidence.</t>
        </is>
      </c>
      <c r="I2" s="30" t="inlineStr">
        <is>
          <t>High</t>
        </is>
      </c>
      <c r="J2" s="30" t="inlineStr">
        <is>
          <t>Require MFA before contractor access is restored.</t>
        </is>
      </c>
    </row>
    <row r="3">
      <c r="A3" s="31" t="inlineStr">
        <is>
          <t>AC-02</t>
        </is>
      </c>
      <c r="B3" s="31" t="inlineStr">
        <is>
          <t>Quarterly Access Review</t>
        </is>
      </c>
      <c r="C3" s="31" t="inlineStr">
        <is>
          <t>Inspect Q2 access review for Salesforce and GitHub.</t>
        </is>
      </c>
      <c r="D3" s="31" t="inlineStr">
        <is>
          <t>Access review export; reviewer signoff</t>
        </is>
      </c>
      <c r="E3" s="31" t="n">
        <v>2</v>
      </c>
      <c r="F3" s="31" t="n">
        <v>1</v>
      </c>
      <c r="G3" s="31" t="inlineStr">
        <is>
          <t>Exception</t>
        </is>
      </c>
      <c r="H3" s="31" t="inlineStr">
        <is>
          <t>One review lacked approval timestamp.</t>
        </is>
      </c>
      <c r="I3" s="31" t="inlineStr">
        <is>
          <t>Medium</t>
        </is>
      </c>
      <c r="J3" s="31" t="inlineStr">
        <is>
          <t>Require dated approval and retained evidence.</t>
        </is>
      </c>
    </row>
    <row r="4">
      <c r="A4" s="31" t="inlineStr">
        <is>
          <t>VM-01</t>
        </is>
      </c>
      <c r="B4" s="31" t="inlineStr">
        <is>
          <t>Vulnerability Scanning</t>
        </is>
      </c>
      <c r="C4" s="31" t="inlineStr">
        <is>
          <t>Inspect monthly scan evidence for last three months.</t>
        </is>
      </c>
      <c r="D4" s="31" t="inlineStr">
        <is>
          <t>Scan reports; ticket export</t>
        </is>
      </c>
      <c r="E4" s="31" t="n">
        <v>3</v>
      </c>
      <c r="F4" s="31" t="n">
        <v>3</v>
      </c>
      <c r="G4" s="31" t="inlineStr">
        <is>
          <t>Pass</t>
        </is>
      </c>
      <c r="H4" s="31" t="inlineStr">
        <is>
          <t>Scans completed; aging report can be improved.</t>
        </is>
      </c>
      <c r="I4" s="31" t="inlineStr">
        <is>
          <t>Low</t>
        </is>
      </c>
      <c r="J4" s="31" t="inlineStr">
        <is>
          <t>Add aging summary to monthly report.</t>
        </is>
      </c>
    </row>
    <row r="5">
      <c r="A5" s="31" t="inlineStr">
        <is>
          <t>IR-02</t>
        </is>
      </c>
      <c r="B5" s="31" t="inlineStr">
        <is>
          <t>Incident Tabletop</t>
        </is>
      </c>
      <c r="C5" s="31" t="inlineStr">
        <is>
          <t>Inspect annual tabletop evidence.</t>
        </is>
      </c>
      <c r="D5" s="31" t="inlineStr">
        <is>
          <t>IR plan; exercise evidence</t>
        </is>
      </c>
      <c r="E5" s="31" t="n">
        <v>1</v>
      </c>
      <c r="F5" s="31" t="n">
        <v>0</v>
      </c>
      <c r="G5" s="31" t="inlineStr">
        <is>
          <t>Exception</t>
        </is>
      </c>
      <c r="H5" s="31" t="inlineStr">
        <is>
          <t>No current-year tabletop evidence.</t>
        </is>
      </c>
      <c r="I5" s="31" t="inlineStr">
        <is>
          <t>Medium</t>
        </is>
      </c>
      <c r="J5" s="31" t="inlineStr">
        <is>
          <t>Schedule tabletop and track lessons learned.</t>
        </is>
      </c>
    </row>
    <row r="6">
      <c r="A6" s="32" t="inlineStr">
        <is>
          <t>TPRM-01</t>
        </is>
      </c>
      <c r="B6" s="32" t="inlineStr">
        <is>
          <t>Critical Vendor Review</t>
        </is>
      </c>
      <c r="C6" s="32" t="inlineStr">
        <is>
          <t>Inspect critical vendor assessment evidence for DataFlow AI.</t>
        </is>
      </c>
      <c r="D6" s="32" t="inlineStr">
        <is>
          <t>Assessment workbook; findings tracker</t>
        </is>
      </c>
      <c r="E6" s="32" t="n">
        <v>1</v>
      </c>
      <c r="F6" s="32" t="n">
        <v>1</v>
      </c>
      <c r="G6" s="32" t="inlineStr">
        <is>
          <t>Pass</t>
        </is>
      </c>
      <c r="H6" s="32" t="inlineStr">
        <is>
          <t>Conditional approval documented with open findings.</t>
        </is>
      </c>
      <c r="I6" s="32" t="inlineStr">
        <is>
          <t>Low</t>
        </is>
      </c>
      <c r="J6" s="32" t="inlineStr">
        <is>
          <t>Continue tracking vendor remediation.</t>
        </is>
      </c>
    </row>
  </sheetData>
  <conditionalFormatting sqref="G2:G6">
    <cfRule type="containsText" priority="1" operator="containsText" dxfId="0" text="High"/>
    <cfRule type="containsText" priority="2" operator="containsText" dxfId="1" text="Medium"/>
    <cfRule type="containsText" priority="3" operator="containsText" dxfId="2" text="Low"/>
    <cfRule type="containsText" priority="4" operator="containsText" dxfId="2" text="Pass"/>
    <cfRule type="containsText" priority="5" operator="containsText" dxfId="0" text="Exception"/>
    <cfRule type="containsText" priority="6" operator="containsText" dxfId="1" text="Partial"/>
  </conditionalFormatting>
  <conditionalFormatting sqref="I2:I6">
    <cfRule type="containsText" priority="7" operator="containsText" dxfId="0" text="High"/>
    <cfRule type="containsText" priority="8" operator="containsText" dxfId="1" text="Medium"/>
    <cfRule type="containsText" priority="9" operator="containsText" dxfId="2" text="Low"/>
    <cfRule type="containsText" priority="10" operator="containsText" dxfId="2" text="Pass"/>
    <cfRule type="containsText" priority="11" operator="containsText" dxfId="0" text="Exception"/>
    <cfRule type="containsText" priority="12" operator="containsText" dxfId="1" text="Partial"/>
  </conditionalFormatting>
  <pageMargins left="0.25" right="0.25" top="0.35" bottom="0.35" header="0.15" footer="0.15"/>
  <pageSetup orientation="landscape" paperSize="1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H4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42" customWidth="1" min="3" max="3"/>
    <col width="14" customWidth="1" min="4" max="4"/>
    <col width="42" customWidth="1" min="5" max="5"/>
    <col width="38" customWidth="1" min="6" max="6"/>
    <col width="44" customWidth="1" min="7" max="7"/>
    <col width="24" customWidth="1" min="8" max="8"/>
  </cols>
  <sheetData>
    <row r="1">
      <c r="A1" s="27" t="inlineStr">
        <is>
          <t>Finding ID</t>
        </is>
      </c>
      <c r="B1" s="28" t="inlineStr">
        <is>
          <t>Control ID</t>
        </is>
      </c>
      <c r="C1" s="28" t="inlineStr">
        <is>
          <t>Finding</t>
        </is>
      </c>
      <c r="D1" s="28" t="inlineStr">
        <is>
          <t>Severity</t>
        </is>
      </c>
      <c r="E1" s="28" t="inlineStr">
        <is>
          <t>Root Cause</t>
        </is>
      </c>
      <c r="F1" s="28" t="inlineStr">
        <is>
          <t>Risk</t>
        </is>
      </c>
      <c r="G1" s="28" t="inlineStr">
        <is>
          <t>Remediation</t>
        </is>
      </c>
      <c r="H1" s="29" t="inlineStr">
        <is>
          <t>Owner</t>
        </is>
      </c>
    </row>
    <row r="2">
      <c r="A2" s="30" t="inlineStr">
        <is>
          <t>CF-001</t>
        </is>
      </c>
      <c r="B2" s="30" t="inlineStr">
        <is>
          <t>AC-01</t>
        </is>
      </c>
      <c r="C2" s="30" t="inlineStr">
        <is>
          <t>Two contractor accounts lacked MFA evidence</t>
        </is>
      </c>
      <c r="D2" s="30" t="inlineStr">
        <is>
          <t>High</t>
        </is>
      </c>
      <c r="E2" s="30" t="inlineStr">
        <is>
          <t>Contractor onboarding not included in MFA evidence review</t>
        </is>
      </c>
      <c r="F2" s="30" t="inlineStr">
        <is>
          <t>Unauthorized access risk and audit exception</t>
        </is>
      </c>
      <c r="G2" s="30" t="inlineStr">
        <is>
          <t>Require MFA for contractors and update onboarding checklist</t>
        </is>
      </c>
      <c r="H2" s="30" t="inlineStr">
        <is>
          <t>VP of IT</t>
        </is>
      </c>
    </row>
    <row r="3">
      <c r="A3" s="31" t="inlineStr">
        <is>
          <t>CF-002</t>
        </is>
      </c>
      <c r="B3" s="31" t="inlineStr">
        <is>
          <t>AC-02</t>
        </is>
      </c>
      <c r="C3" s="31" t="inlineStr">
        <is>
          <t>Q2 access review missing approval timestamp</t>
        </is>
      </c>
      <c r="D3" s="31" t="inlineStr">
        <is>
          <t>Medium</t>
        </is>
      </c>
      <c r="E3" s="31" t="inlineStr">
        <is>
          <t>Evidence retention process incomplete</t>
        </is>
      </c>
      <c r="F3" s="31" t="inlineStr">
        <is>
          <t>Review cannot be fully evidenced</t>
        </is>
      </c>
      <c r="G3" s="31" t="inlineStr">
        <is>
          <t>Require dated approval workflow</t>
        </is>
      </c>
      <c r="H3" s="31" t="inlineStr">
        <is>
          <t>GRC Lead</t>
        </is>
      </c>
    </row>
    <row r="4">
      <c r="A4" s="32" t="inlineStr">
        <is>
          <t>CF-003</t>
        </is>
      </c>
      <c r="B4" s="32" t="inlineStr">
        <is>
          <t>IR-02</t>
        </is>
      </c>
      <c r="C4" s="32" t="inlineStr">
        <is>
          <t>No current-year tabletop evidence</t>
        </is>
      </c>
      <c r="D4" s="32" t="inlineStr">
        <is>
          <t>Medium</t>
        </is>
      </c>
      <c r="E4" s="32" t="inlineStr">
        <is>
          <t>Exercise not scheduled before readiness review</t>
        </is>
      </c>
      <c r="F4" s="32" t="inlineStr">
        <is>
          <t>IR readiness not proven</t>
        </is>
      </c>
      <c r="G4" s="32" t="inlineStr">
        <is>
          <t>Schedule tabletop and track lessons learned</t>
        </is>
      </c>
      <c r="H4" s="32" t="inlineStr">
        <is>
          <t>CISO</t>
        </is>
      </c>
    </row>
  </sheetData>
  <conditionalFormatting sqref="D2:D4">
    <cfRule type="containsText" priority="1" operator="containsText" dxfId="0" text="High"/>
    <cfRule type="containsText" priority="2" operator="containsText" dxfId="1" text="Medium"/>
    <cfRule type="containsText" priority="3" operator="containsText" dxfId="2" text="Low"/>
    <cfRule type="containsText" priority="4" operator="containsText" dxfId="2" text="Pass"/>
    <cfRule type="containsText" priority="5" operator="containsText" dxfId="0" text="Exception"/>
    <cfRule type="containsText" priority="6" operator="containsText" dxfId="1" text="Partial"/>
  </conditionalFormatting>
  <pageMargins left="0.25" right="0.25" top="0.35" bottom="0.35" header="0.15" footer="0.15"/>
  <pageSetup orientation="landscape" paperSize="1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F16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42" customWidth="1" min="2" max="2"/>
    <col width="24" customWidth="1" min="3" max="3"/>
    <col width="16" customWidth="1" min="4" max="4"/>
    <col width="50" customWidth="1" min="5" max="5"/>
    <col width="54" customWidth="1" min="6" max="6"/>
  </cols>
  <sheetData>
    <row r="1">
      <c r="A1" s="27" t="inlineStr">
        <is>
          <t>Control ID</t>
        </is>
      </c>
      <c r="B1" s="28" t="inlineStr">
        <is>
          <t>Evidence Request</t>
        </is>
      </c>
      <c r="C1" s="28" t="inlineStr">
        <is>
          <t>Owner</t>
        </is>
      </c>
      <c r="D1" s="28" t="inlineStr">
        <is>
          <t>Frequency</t>
        </is>
      </c>
      <c r="E1" s="28" t="inlineStr">
        <is>
          <t>Acceptable Evidence</t>
        </is>
      </c>
      <c r="F1" s="29" t="inlineStr">
        <is>
          <t>Learning Point</t>
        </is>
      </c>
    </row>
    <row r="2">
      <c r="A2" s="30" t="inlineStr">
        <is>
          <t>AC-01</t>
        </is>
      </c>
      <c r="B2" s="30" t="inlineStr">
        <is>
          <t>MFA policy export; enrollment report; exception log</t>
        </is>
      </c>
      <c r="C2" s="30" t="inlineStr">
        <is>
          <t>VP of IT</t>
        </is>
      </c>
      <c r="D2" s="30" t="inlineStr">
        <is>
          <t>Continuous</t>
        </is>
      </c>
      <c r="E2" s="30" t="inlineStr">
        <is>
          <t>MFA policy export; enrollment report; exception log</t>
        </is>
      </c>
      <c r="F2" s="30" t="inlineStr">
        <is>
          <t>Evidence must prove the control objective, not just show that a tool exists.</t>
        </is>
      </c>
    </row>
    <row r="3">
      <c r="A3" s="31" t="inlineStr">
        <is>
          <t>AC-02</t>
        </is>
      </c>
      <c r="B3" s="31" t="inlineStr">
        <is>
          <t>Access review export; reviewer signoff; remediation evidence</t>
        </is>
      </c>
      <c r="C3" s="31" t="inlineStr">
        <is>
          <t>GRC Lead</t>
        </is>
      </c>
      <c r="D3" s="31" t="inlineStr">
        <is>
          <t>Quarterly</t>
        </is>
      </c>
      <c r="E3" s="31" t="inlineStr">
        <is>
          <t>Access review export; reviewer signoff; remediation evidence</t>
        </is>
      </c>
      <c r="F3" s="31" t="inlineStr">
        <is>
          <t>Evidence must prove the control objective, not just show that a tool exists.</t>
        </is>
      </c>
    </row>
    <row r="4">
      <c r="A4" s="31" t="inlineStr">
        <is>
          <t>AC-03</t>
        </is>
      </c>
      <c r="B4" s="31" t="inlineStr">
        <is>
          <t>HR termination ticket; SSO deactivation log</t>
        </is>
      </c>
      <c r="C4" s="31" t="inlineStr">
        <is>
          <t>People Ops</t>
        </is>
      </c>
      <c r="D4" s="31" t="inlineStr">
        <is>
          <t>Per termination</t>
        </is>
      </c>
      <c r="E4" s="31" t="inlineStr">
        <is>
          <t>HR termination ticket; SSO deactivation log</t>
        </is>
      </c>
      <c r="F4" s="31" t="inlineStr">
        <is>
          <t>Evidence must prove the control objective, not just show that a tool exists.</t>
        </is>
      </c>
    </row>
    <row r="5">
      <c r="A5" s="31" t="inlineStr">
        <is>
          <t>VM-01</t>
        </is>
      </c>
      <c r="B5" s="31" t="inlineStr">
        <is>
          <t>Scan report; ticket export</t>
        </is>
      </c>
      <c r="C5" s="31" t="inlineStr">
        <is>
          <t>Security Engineer</t>
        </is>
      </c>
      <c r="D5" s="31" t="inlineStr">
        <is>
          <t>Monthly</t>
        </is>
      </c>
      <c r="E5" s="31" t="inlineStr">
        <is>
          <t>Scan report; ticket export</t>
        </is>
      </c>
      <c r="F5" s="31" t="inlineStr">
        <is>
          <t>Evidence must prove the control objective, not just show that a tool exists.</t>
        </is>
      </c>
    </row>
    <row r="6">
      <c r="A6" s="31" t="inlineStr">
        <is>
          <t>VM-02</t>
        </is>
      </c>
      <c r="B6" s="31" t="inlineStr">
        <is>
          <t>Aging report; exception approvals</t>
        </is>
      </c>
      <c r="C6" s="31" t="inlineStr">
        <is>
          <t>Security Engineer</t>
        </is>
      </c>
      <c r="D6" s="31" t="inlineStr">
        <is>
          <t>Monthly</t>
        </is>
      </c>
      <c r="E6" s="31" t="inlineStr">
        <is>
          <t>Aging report; exception approvals</t>
        </is>
      </c>
      <c r="F6" s="31" t="inlineStr">
        <is>
          <t>Evidence must prove the control objective, not just show that a tool exists.</t>
        </is>
      </c>
    </row>
    <row r="7">
      <c r="A7" s="31" t="inlineStr">
        <is>
          <t>LOG-01</t>
        </is>
      </c>
      <c r="B7" s="31" t="inlineStr">
        <is>
          <t>Log source inventory; alert routing matrix</t>
        </is>
      </c>
      <c r="C7" s="31" t="inlineStr">
        <is>
          <t>Security Operations</t>
        </is>
      </c>
      <c r="D7" s="31" t="inlineStr">
        <is>
          <t>Continuous</t>
        </is>
      </c>
      <c r="E7" s="31" t="inlineStr">
        <is>
          <t>Log source inventory; alert routing matrix</t>
        </is>
      </c>
      <c r="F7" s="31" t="inlineStr">
        <is>
          <t>Evidence must prove the control objective, not just show that a tool exists.</t>
        </is>
      </c>
    </row>
    <row r="8">
      <c r="A8" s="31" t="inlineStr">
        <is>
          <t>IR-01</t>
        </is>
      </c>
      <c r="B8" s="31" t="inlineStr">
        <is>
          <t>IR plan; approval record</t>
        </is>
      </c>
      <c r="C8" s="31" t="inlineStr">
        <is>
          <t>CISO</t>
        </is>
      </c>
      <c r="D8" s="31" t="inlineStr">
        <is>
          <t>Annual</t>
        </is>
      </c>
      <c r="E8" s="31" t="inlineStr">
        <is>
          <t>IR plan; approval record</t>
        </is>
      </c>
      <c r="F8" s="31" t="inlineStr">
        <is>
          <t>Evidence must prove the control objective, not just show that a tool exists.</t>
        </is>
      </c>
    </row>
    <row r="9">
      <c r="A9" s="31" t="inlineStr">
        <is>
          <t>IR-02</t>
        </is>
      </c>
      <c r="B9" s="31" t="inlineStr">
        <is>
          <t>Exercise agenda; participant list; lessons learned</t>
        </is>
      </c>
      <c r="C9" s="31" t="inlineStr">
        <is>
          <t>CISO</t>
        </is>
      </c>
      <c r="D9" s="31" t="inlineStr">
        <is>
          <t>Annual</t>
        </is>
      </c>
      <c r="E9" s="31" t="inlineStr">
        <is>
          <t>Exercise agenda; participant list; lessons learned</t>
        </is>
      </c>
      <c r="F9" s="31" t="inlineStr">
        <is>
          <t>Evidence must prove the control objective, not just show that a tool exists.</t>
        </is>
      </c>
    </row>
    <row r="10">
      <c r="A10" s="31" t="inlineStr">
        <is>
          <t>BC-01</t>
        </is>
      </c>
      <c r="B10" s="31" t="inlineStr">
        <is>
          <t>Backup job logs; failure tickets</t>
        </is>
      </c>
      <c r="C10" s="31" t="inlineStr">
        <is>
          <t>Infrastructure</t>
        </is>
      </c>
      <c r="D10" s="31" t="inlineStr">
        <is>
          <t>Daily</t>
        </is>
      </c>
      <c r="E10" s="31" t="inlineStr">
        <is>
          <t>Backup job logs; failure tickets</t>
        </is>
      </c>
      <c r="F10" s="31" t="inlineStr">
        <is>
          <t>Evidence must prove the control objective, not just show that a tool exists.</t>
        </is>
      </c>
    </row>
    <row r="11">
      <c r="A11" s="31" t="inlineStr">
        <is>
          <t>BC-02</t>
        </is>
      </c>
      <c r="B11" s="31" t="inlineStr">
        <is>
          <t>Restore test record; RTO/RPO results</t>
        </is>
      </c>
      <c r="C11" s="31" t="inlineStr">
        <is>
          <t>Infrastructure</t>
        </is>
      </c>
      <c r="D11" s="31" t="inlineStr">
        <is>
          <t>Annual</t>
        </is>
      </c>
      <c r="E11" s="31" t="inlineStr">
        <is>
          <t>Restore test record; RTO/RPO results</t>
        </is>
      </c>
      <c r="F11" s="31" t="inlineStr">
        <is>
          <t>Evidence must prove the control objective, not just show that a tool exists.</t>
        </is>
      </c>
    </row>
    <row r="12">
      <c r="A12" s="31" t="inlineStr">
        <is>
          <t>TPRM-01</t>
        </is>
      </c>
      <c r="B12" s="31" t="inlineStr">
        <is>
          <t>Vendor assessment; SOC report; findings register</t>
        </is>
      </c>
      <c r="C12" s="31" t="inlineStr">
        <is>
          <t>GRC Lead</t>
        </is>
      </c>
      <c r="D12" s="31" t="inlineStr">
        <is>
          <t>Annual</t>
        </is>
      </c>
      <c r="E12" s="31" t="inlineStr">
        <is>
          <t>Vendor assessment; SOC report; findings register</t>
        </is>
      </c>
      <c r="F12" s="31" t="inlineStr">
        <is>
          <t>Evidence must prove the control objective, not just show that a tool exists.</t>
        </is>
      </c>
    </row>
    <row r="13">
      <c r="A13" s="31" t="inlineStr">
        <is>
          <t>CHG-01</t>
        </is>
      </c>
      <c r="B13" s="31" t="inlineStr">
        <is>
          <t>Pull request; approval; emergency review record</t>
        </is>
      </c>
      <c r="C13" s="31" t="inlineStr">
        <is>
          <t>Engineering Manager</t>
        </is>
      </c>
      <c r="D13" s="31" t="inlineStr">
        <is>
          <t>Per change</t>
        </is>
      </c>
      <c r="E13" s="31" t="inlineStr">
        <is>
          <t>Pull request; approval; emergency review record</t>
        </is>
      </c>
      <c r="F13" s="31" t="inlineStr">
        <is>
          <t>Evidence must prove the control objective, not just show that a tool exists.</t>
        </is>
      </c>
    </row>
    <row r="14">
      <c r="A14" s="31" t="inlineStr">
        <is>
          <t>SEC-01</t>
        </is>
      </c>
      <c r="B14" s="31" t="inlineStr">
        <is>
          <t>Training completion report</t>
        </is>
      </c>
      <c r="C14" s="31" t="inlineStr">
        <is>
          <t>People Ops</t>
        </is>
      </c>
      <c r="D14" s="31" t="inlineStr">
        <is>
          <t>Annual</t>
        </is>
      </c>
      <c r="E14" s="31" t="inlineStr">
        <is>
          <t>Training completion report</t>
        </is>
      </c>
      <c r="F14" s="31" t="inlineStr">
        <is>
          <t>Evidence must prove the control objective, not just show that a tool exists.</t>
        </is>
      </c>
    </row>
    <row r="15">
      <c r="A15" s="31" t="inlineStr">
        <is>
          <t>DATA-01</t>
        </is>
      </c>
      <c r="B15" s="31" t="inlineStr">
        <is>
          <t>Retention matrix; deletion evidence</t>
        </is>
      </c>
      <c r="C15" s="31" t="inlineStr">
        <is>
          <t>Legal / Privacy</t>
        </is>
      </c>
      <c r="D15" s="31" t="inlineStr">
        <is>
          <t>Annual</t>
        </is>
      </c>
      <c r="E15" s="31" t="inlineStr">
        <is>
          <t>Retention matrix; deletion evidence</t>
        </is>
      </c>
      <c r="F15" s="31" t="inlineStr">
        <is>
          <t>Evidence must prove the control objective, not just show that a tool exists.</t>
        </is>
      </c>
    </row>
    <row r="16">
      <c r="A16" s="32" t="inlineStr">
        <is>
          <t>CLD-01</t>
        </is>
      </c>
      <c r="B16" s="32" t="inlineStr">
        <is>
          <t>Configuration alerts; exception review</t>
        </is>
      </c>
      <c r="C16" s="32" t="inlineStr">
        <is>
          <t>Cloud Engineering</t>
        </is>
      </c>
      <c r="D16" s="32" t="inlineStr">
        <is>
          <t>Monthly</t>
        </is>
      </c>
      <c r="E16" s="32" t="inlineStr">
        <is>
          <t>Configuration alerts; exception review</t>
        </is>
      </c>
      <c r="F16" s="32" t="inlineStr">
        <is>
          <t>Evidence must prove the control objective, not just show that a tool exists.</t>
        </is>
      </c>
    </row>
  </sheetData>
  <pageMargins left="0.25" right="0.25" top="0.35" bottom="0.35" header="0.15" footer="0.15"/>
  <pageSetup orientation="landscape" paperSize="1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C11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86" customWidth="1" min="2" max="2"/>
    <col width="44" customWidth="1" min="3" max="3"/>
  </cols>
  <sheetData>
    <row r="1">
      <c r="A1" s="27" t="inlineStr">
        <is>
          <t>Reference</t>
        </is>
      </c>
      <c r="B1" s="28" t="inlineStr">
        <is>
          <t>URL</t>
        </is>
      </c>
      <c r="C1" s="29" t="inlineStr">
        <is>
          <t>Use</t>
        </is>
      </c>
    </row>
    <row r="2">
      <c r="A2" s="30" t="inlineStr">
        <is>
          <t>NIST CSF 2.0</t>
        </is>
      </c>
      <c r="B2" s="30" t="inlineStr">
        <is>
          <t>https://www.nist.gov/cyberframework</t>
        </is>
      </c>
      <c r="C2" s="30" t="inlineStr">
        <is>
          <t>Program outcomes and governance alignment</t>
        </is>
      </c>
    </row>
    <row r="3">
      <c r="A3" s="31" t="inlineStr">
        <is>
          <t>NIST SP 800-53 Rev. 5 Release 5.2.0</t>
        </is>
      </c>
      <c r="B3" s="31" t="inlineStr">
        <is>
          <t>https://csrc.nist.gov/News/2025/nist-releases-revision-to-sp-800-53-controls</t>
        </is>
      </c>
      <c r="C3" s="31" t="inlineStr">
        <is>
          <t>Control catalog reference</t>
        </is>
      </c>
    </row>
    <row r="4">
      <c r="A4" s="31" t="inlineStr">
        <is>
          <t>NIST SP 800-53A Rev. 5</t>
        </is>
      </c>
      <c r="B4" s="31" t="inlineStr">
        <is>
          <t>https://csrc.nist.gov/pubs/sp/800/53/a/r5/final</t>
        </is>
      </c>
      <c r="C4" s="31" t="inlineStr">
        <is>
          <t>Control assessment and test procedure reference</t>
        </is>
      </c>
    </row>
    <row r="5">
      <c r="A5" s="31" t="inlineStr">
        <is>
          <t>CIS Controls v8.1</t>
        </is>
      </c>
      <c r="B5" s="31" t="inlineStr">
        <is>
          <t>https://www.cisecurity.org/controls/v8-1</t>
        </is>
      </c>
      <c r="C5" s="31" t="inlineStr">
        <is>
          <t>Practical safeguard mapping</t>
        </is>
      </c>
    </row>
    <row r="6">
      <c r="A6" s="31" t="inlineStr">
        <is>
          <t>ISO/IEC 27001:2022/Amd 1:2024</t>
        </is>
      </c>
      <c r="B6" s="31" t="inlineStr">
        <is>
          <t>https://www.iso.org/standard/88435.html</t>
        </is>
      </c>
      <c r="C6" s="31" t="inlineStr">
        <is>
          <t>ISMS requirements</t>
        </is>
      </c>
    </row>
    <row r="7">
      <c r="A7" s="31" t="inlineStr">
        <is>
          <t>ISO/IEC 27002:2022</t>
        </is>
      </c>
      <c r="B7" s="31" t="inlineStr">
        <is>
          <t>https://www.iso.org/standard/75652.html</t>
        </is>
      </c>
      <c r="C7" s="31" t="inlineStr">
        <is>
          <t>Security control guidance</t>
        </is>
      </c>
    </row>
    <row r="8">
      <c r="A8" s="31" t="inlineStr">
        <is>
          <t>ISO/IEC 27017:2026</t>
        </is>
      </c>
      <c r="B8" s="31" t="inlineStr">
        <is>
          <t>https://www.iso.org/standard/43757.html</t>
        </is>
      </c>
      <c r="C8" s="31" t="inlineStr">
        <is>
          <t>Cloud-service control guidance</t>
        </is>
      </c>
    </row>
    <row r="9">
      <c r="A9" s="31" t="inlineStr">
        <is>
          <t>AICPA Trust Services Criteria with revised points of focus 2022</t>
        </is>
      </c>
      <c r="B9" s="31" t="inlineStr">
        <is>
          <t>https://www.aicpa-cima.com/resources/download/2017-trust-services-criteria-with-revised-points-of-focus-2022</t>
        </is>
      </c>
      <c r="C9" s="31" t="inlineStr">
        <is>
          <t>SOC 2 readiness criteria</t>
        </is>
      </c>
    </row>
    <row r="10">
      <c r="A10" s="31" t="inlineStr">
        <is>
          <t>NIST SP 800-61 Rev. 3</t>
        </is>
      </c>
      <c r="B10" s="31" t="inlineStr">
        <is>
          <t>https://csrc.nist.gov/pubs/sp/800/61/r3/final</t>
        </is>
      </c>
      <c r="C10" s="31" t="inlineStr">
        <is>
          <t>Incident-response control guidance</t>
        </is>
      </c>
    </row>
    <row r="11">
      <c r="A11" s="32" t="inlineStr">
        <is>
          <t>NIST SP 800-161 Rev. 1 Update 1</t>
        </is>
      </c>
      <c r="B11" s="32" t="inlineStr">
        <is>
          <t>https://csrc.nist.gov/pubs/sp/800/161/r1/upd1/final</t>
        </is>
      </c>
      <c r="C11" s="32" t="inlineStr">
        <is>
          <t>Supply-chain controls</t>
        </is>
      </c>
    </row>
  </sheetData>
  <pageMargins left="0.25" right="0.25" top="0.35" bottom="0.35" header="0.15" footer="0.15"/>
  <pageSetup orientation="portrait" paperSize="1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2026-08-17T04:22:37Z</dcterms:created>
  <dcterms:modified xmlns:dcterms="http://purl.org/dc/terms/" xmlns:xsi="http://www.w3.org/2001/XMLSchema-instance" xsi:type="dcterms:W3CDTF">2026-08-17T04:22:37Z</dcterms:modified>
</cp:coreProperties>
</file>