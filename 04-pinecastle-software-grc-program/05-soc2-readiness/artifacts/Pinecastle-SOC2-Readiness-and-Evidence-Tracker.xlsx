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ontrol Matrix" sheetId="2" state="visible" r:id="rId2"/>
    <sheet xmlns:r="http://schemas.openxmlformats.org/officeDocument/2006/relationships" name="PBC Tracker" sheetId="3" state="visible" r:id="rId3"/>
    <sheet xmlns:r="http://schemas.openxmlformats.org/officeDocument/2006/relationships" name="Audit Findings" sheetId="4" state="visible" r:id="rId4"/>
    <sheet xmlns:r="http://schemas.openxmlformats.org/officeDocument/2006/relationships" name="Remediation Tracker" sheetId="5" state="visible" r:id="rId5"/>
    <sheet xmlns:r="http://schemas.openxmlformats.org/officeDocument/2006/relationships" name="Readiness Report" sheetId="6" state="visible" r:id="rId6"/>
    <sheet xmlns:r="http://schemas.openxmlformats.org/officeDocument/2006/relationships" name="References" sheetId="7" state="visible" r:id="rId7"/>
  </sheets>
  <definedNames>
    <definedName name="_xlnm.Print_Area" localSheetId="0">'Dashboard'!$A$1:$H$10</definedName>
    <definedName name="_xlnm.Print_Area" localSheetId="1">'Control Matrix'!$A$1:$J$23</definedName>
    <definedName name="_xlnm.Print_Area" localSheetId="2">'PBC Tracker'!$A$1:$H$11</definedName>
    <definedName name="_xlnm.Print_Area" localSheetId="3">'Audit Findings'!$A$1:$I$6</definedName>
    <definedName name="_xlnm.Print_Area" localSheetId="4">'Remediation Tracker'!$A$1:$H$6</definedName>
    <definedName name="_xlnm.Print_Area" localSheetId="5">'Readiness Report'!$A$1:$D$10</definedName>
    <definedName name="_xlnm.Print_Area" localSheetId="6">'References'!$A$1:$C$12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7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top style="thin">
        <color rgb="FF8EA9C1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0" fontId="2" fillId="2" borderId="12" applyAlignment="1" pivotButton="0" quotePrefix="0" xfId="0">
      <alignment vertical="top" wrapText="1"/>
    </xf>
    <xf numFmtId="0" fontId="4" fillId="0" borderId="16" pivotButton="0" quotePrefix="0" xfId="0"/>
    <xf numFmtId="0" fontId="4" fillId="0" borderId="16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dxfs count="36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2" customWidth="1" min="5" max="5"/>
    <col width="12" customWidth="1" min="6" max="6"/>
    <col width="14" customWidth="1" min="7" max="7"/>
    <col width="48" customWidth="1" min="8" max="8"/>
  </cols>
  <sheetData>
    <row r="1">
      <c r="A1" s="4" t="inlineStr">
        <is>
          <t>Pinecastle - SOC 2 Readiness and Evidence</t>
        </is>
      </c>
    </row>
    <row r="3">
      <c r="A3" s="18" t="inlineStr">
        <is>
          <t>Controls</t>
        </is>
      </c>
      <c r="B3" s="19">
        <f>COUNTA('Control Matrix'!A2:A23)</f>
        <v/>
      </c>
      <c r="D3" s="27" t="inlineStr">
        <is>
          <t>Readiness Area</t>
        </is>
      </c>
      <c r="E3" s="28" t="inlineStr">
        <is>
          <t>Ready</t>
        </is>
      </c>
      <c r="F3" s="28" t="inlineStr">
        <is>
          <t>Partial</t>
        </is>
      </c>
      <c r="G3" s="28" t="inlineStr">
        <is>
          <t>Not Ready</t>
        </is>
      </c>
      <c r="H3" s="29" t="inlineStr">
        <is>
          <t>Main Issue</t>
        </is>
      </c>
    </row>
    <row r="4">
      <c r="A4" s="20" t="inlineStr">
        <is>
          <t>Ready Controls</t>
        </is>
      </c>
      <c r="B4" s="21">
        <f>COUNTIF('Control Matrix'!G2:G23,"Ready")</f>
        <v/>
      </c>
      <c r="D4" s="30" t="inlineStr">
        <is>
          <t>Access Control</t>
        </is>
      </c>
      <c r="E4" s="30">
        <f>COUNTIFS('Control Matrix'!$J$2:$J$23,$D4,'Control Matrix'!$G$2:$G$23,E$3)</f>
        <v/>
      </c>
      <c r="F4" s="30">
        <f>COUNTIFS('Control Matrix'!$J$2:$J$23,$D4,'Control Matrix'!$G$2:$G$23,F$3)</f>
        <v/>
      </c>
      <c r="G4" s="30">
        <f>COUNTIFS('Control Matrix'!$J$2:$J$23,$D4,'Control Matrix'!$G$2:$G$23,G$3)</f>
        <v/>
      </c>
      <c r="H4" s="30" t="inlineStr">
        <is>
          <t>MFA exceptions and review evidence</t>
        </is>
      </c>
    </row>
    <row r="5">
      <c r="A5" s="20" t="inlineStr">
        <is>
          <t>Partial Controls</t>
        </is>
      </c>
      <c r="B5" s="21">
        <f>COUNTIF('Control Matrix'!G2:G23,"Partial")</f>
        <v/>
      </c>
      <c r="D5" s="31" t="inlineStr">
        <is>
          <t>Security Operations</t>
        </is>
      </c>
      <c r="E5" s="31">
        <f>COUNTIFS('Control Matrix'!$J$2:$J$23,$D5,'Control Matrix'!$G$2:$G$23,E$3)</f>
        <v/>
      </c>
      <c r="F5" s="31">
        <f>COUNTIFS('Control Matrix'!$J$2:$J$23,$D5,'Control Matrix'!$G$2:$G$23,F$3)</f>
        <v/>
      </c>
      <c r="G5" s="31">
        <f>COUNTIFS('Control Matrix'!$J$2:$J$23,$D5,'Control Matrix'!$G$2:$G$23,G$3)</f>
        <v/>
      </c>
      <c r="H5" s="31" t="inlineStr">
        <is>
          <t>IR tabletop and vulnerability evidence</t>
        </is>
      </c>
    </row>
    <row r="6">
      <c r="A6" s="20" t="inlineStr">
        <is>
          <t>Not Ready Controls</t>
        </is>
      </c>
      <c r="B6" s="21">
        <f>COUNTIF('Control Matrix'!G2:G23,"Not Ready")</f>
        <v/>
      </c>
      <c r="D6" s="31" t="inlineStr">
        <is>
          <t>Availability</t>
        </is>
      </c>
      <c r="E6" s="31">
        <f>COUNTIFS('Control Matrix'!$J$2:$J$23,$D6,'Control Matrix'!$G$2:$G$23,E$3)</f>
        <v/>
      </c>
      <c r="F6" s="31">
        <f>COUNTIFS('Control Matrix'!$J$2:$J$23,$D6,'Control Matrix'!$G$2:$G$23,F$3)</f>
        <v/>
      </c>
      <c r="G6" s="31">
        <f>COUNTIFS('Control Matrix'!$J$2:$J$23,$D6,'Control Matrix'!$G$2:$G$23,G$3)</f>
        <v/>
      </c>
      <c r="H6" s="31" t="inlineStr">
        <is>
          <t>Restore evidence</t>
        </is>
      </c>
    </row>
    <row r="7">
      <c r="A7" s="20" t="inlineStr">
        <is>
          <t>Open Findings</t>
        </is>
      </c>
      <c r="B7" s="21">
        <f>COUNTIF('Audit Findings'!I2:I7,"Open")</f>
        <v/>
      </c>
      <c r="D7" s="31" t="inlineStr">
        <is>
          <t>Vendor / Cloud</t>
        </is>
      </c>
      <c r="E7" s="31">
        <f>COUNTIFS('Control Matrix'!$J$2:$J$23,$D7,'Control Matrix'!$G$2:$G$23,E$3)</f>
        <v/>
      </c>
      <c r="F7" s="31">
        <f>COUNTIFS('Control Matrix'!$J$2:$J$23,$D7,'Control Matrix'!$G$2:$G$23,F$3)</f>
        <v/>
      </c>
      <c r="G7" s="31">
        <f>COUNTIFS('Control Matrix'!$J$2:$J$23,$D7,'Control Matrix'!$G$2:$G$23,G$3)</f>
        <v/>
      </c>
      <c r="H7" s="31" t="inlineStr">
        <is>
          <t>Critical vendor and cloud exception review</t>
        </is>
      </c>
    </row>
    <row r="8">
      <c r="A8" s="20" t="inlineStr">
        <is>
          <t>Readiness</t>
        </is>
      </c>
      <c r="B8" s="37">
        <f>COUNTIF('Control Matrix'!G2:G23,"Ready")/COUNTA('Control Matrix'!A2:A23)</f>
        <v/>
      </c>
      <c r="D8" s="32" t="inlineStr">
        <is>
          <t>Governance / Evidence</t>
        </is>
      </c>
      <c r="E8" s="32">
        <f>COUNTIFS('Control Matrix'!$J$2:$J$23,$D8,'Control Matrix'!$G$2:$G$23,E$3)</f>
        <v/>
      </c>
      <c r="F8" s="32">
        <f>COUNTIFS('Control Matrix'!$J$2:$J$23,$D8,'Control Matrix'!$G$2:$G$23,F$3)</f>
        <v/>
      </c>
      <c r="G8" s="32">
        <f>COUNTIFS('Control Matrix'!$J$2:$J$23,$D8,'Control Matrix'!$G$2:$G$23,G$3)</f>
        <v/>
      </c>
      <c r="H8" s="32" t="inlineStr">
        <is>
          <t>Evidence ownership and policy cadence</t>
        </is>
      </c>
    </row>
    <row r="9">
      <c r="A9" s="22" t="inlineStr">
        <is>
          <t>Assessment Date</t>
        </is>
      </c>
      <c r="B9" s="38" t="n">
        <v>46276</v>
      </c>
    </row>
    <row r="10" ht="32" customHeight="1">
      <c r="D10" s="45" t="inlineStr">
        <is>
          <t>TOTAL</t>
        </is>
      </c>
      <c r="E10" s="45">
        <f>SUM(E4:E8)</f>
        <v/>
      </c>
      <c r="F10" s="45">
        <f>SUM(F4:F8)</f>
        <v/>
      </c>
      <c r="G10" s="45">
        <f>SUM(G4:G8)</f>
        <v/>
      </c>
      <c r="H10" s="46">
        <f>SUM(E10:G10)&amp;" controls; matches overall: "&amp;IF(SUM(E10:G10)=B3,"Yes","No")</f>
        <v/>
      </c>
    </row>
  </sheetData>
  <mergeCells count="1">
    <mergeCell ref="A1:H1"/>
  </mergeCells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22" customWidth="1" min="5" max="5"/>
    <col width="16" customWidth="1" min="6" max="6"/>
    <col width="18" customWidth="1" min="7" max="7"/>
    <col width="44" customWidth="1" min="8" max="8"/>
    <col width="14" customWidth="1" min="9" max="9"/>
    <col width="28" customWidth="1" min="10" max="10"/>
  </cols>
  <sheetData>
    <row r="1" ht="32" customHeight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TSC Area</t>
        </is>
      </c>
      <c r="D1" s="28" t="inlineStr">
        <is>
          <t>Trust Service Category</t>
        </is>
      </c>
      <c r="E1" s="28" t="inlineStr">
        <is>
          <t>Owner</t>
        </is>
      </c>
      <c r="F1" s="28" t="inlineStr">
        <is>
          <t>Frequency</t>
        </is>
      </c>
      <c r="G1" s="28" t="inlineStr">
        <is>
          <t>Readiness Status</t>
        </is>
      </c>
      <c r="H1" s="28" t="inlineStr">
        <is>
          <t>Evidence Needed</t>
        </is>
      </c>
      <c r="I1" s="43" t="inlineStr">
        <is>
          <t>Evidence Review Priority</t>
        </is>
      </c>
      <c r="J1" s="29" t="inlineStr">
        <is>
          <t>Readiness Area</t>
        </is>
      </c>
    </row>
    <row r="2">
      <c r="A2" s="30" t="inlineStr">
        <is>
          <t>AC-01</t>
        </is>
      </c>
      <c r="B2" s="30" t="inlineStr">
        <is>
          <t>MFA Enforcement</t>
        </is>
      </c>
      <c r="C2" s="30" t="inlineStr">
        <is>
          <t>CC6</t>
        </is>
      </c>
      <c r="D2" s="30" t="inlineStr">
        <is>
          <t>Security</t>
        </is>
      </c>
      <c r="E2" s="30" t="inlineStr">
        <is>
          <t>VP of IT</t>
        </is>
      </c>
      <c r="F2" s="30" t="inlineStr">
        <is>
          <t>Continuous</t>
        </is>
      </c>
      <c r="G2" s="30" t="inlineStr">
        <is>
          <t>Partial</t>
        </is>
      </c>
      <c r="H2" s="30" t="inlineStr">
        <is>
          <t>MFA configuration and enrollment report</t>
        </is>
      </c>
      <c r="I2" s="30" t="inlineStr">
        <is>
          <t>High</t>
        </is>
      </c>
      <c r="J2" s="30" t="inlineStr">
        <is>
          <t>Access Control</t>
        </is>
      </c>
    </row>
    <row r="3">
      <c r="A3" s="31" t="inlineStr">
        <is>
          <t>AC-02</t>
        </is>
      </c>
      <c r="B3" s="31" t="inlineStr">
        <is>
          <t>Access Reviews</t>
        </is>
      </c>
      <c r="C3" s="31" t="inlineStr">
        <is>
          <t>CC6</t>
        </is>
      </c>
      <c r="D3" s="31" t="inlineStr">
        <is>
          <t>Security</t>
        </is>
      </c>
      <c r="E3" s="31" t="inlineStr">
        <is>
          <t>GRC Lead</t>
        </is>
      </c>
      <c r="F3" s="31" t="inlineStr">
        <is>
          <t>Quarterly</t>
        </is>
      </c>
      <c r="G3" s="31" t="inlineStr">
        <is>
          <t>Partial</t>
        </is>
      </c>
      <c r="H3" s="31" t="inlineStr">
        <is>
          <t>Q access review evidence</t>
        </is>
      </c>
      <c r="I3" s="31" t="inlineStr">
        <is>
          <t>Medium</t>
        </is>
      </c>
      <c r="J3" s="31" t="inlineStr">
        <is>
          <t>Access Control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CC6</t>
        </is>
      </c>
      <c r="D4" s="31" t="inlineStr">
        <is>
          <t>Security</t>
        </is>
      </c>
      <c r="E4" s="31" t="inlineStr">
        <is>
          <t>People Ops</t>
        </is>
      </c>
      <c r="F4" s="31" t="inlineStr">
        <is>
          <t>Per termination</t>
        </is>
      </c>
      <c r="G4" s="31" t="inlineStr">
        <is>
          <t>Ready</t>
        </is>
      </c>
      <c r="H4" s="31" t="inlineStr">
        <is>
          <t>Termination ticket and deactivation log</t>
        </is>
      </c>
      <c r="I4" s="31" t="inlineStr">
        <is>
          <t>Medium</t>
        </is>
      </c>
      <c r="J4" s="31" t="inlineStr">
        <is>
          <t>Access Control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CC7</t>
        </is>
      </c>
      <c r="D5" s="31" t="inlineStr">
        <is>
          <t>Security</t>
        </is>
      </c>
      <c r="E5" s="31" t="inlineStr">
        <is>
          <t>Security Engineer</t>
        </is>
      </c>
      <c r="F5" s="31" t="inlineStr">
        <is>
          <t>Monthly</t>
        </is>
      </c>
      <c r="G5" s="31" t="inlineStr">
        <is>
          <t>Partial</t>
        </is>
      </c>
      <c r="H5" s="31" t="inlineStr">
        <is>
          <t>Monthly scan report</t>
        </is>
      </c>
      <c r="I5" s="31" t="inlineStr">
        <is>
          <t>Medium</t>
        </is>
      </c>
      <c r="J5" s="31" t="inlineStr">
        <is>
          <t>Security Operations</t>
        </is>
      </c>
    </row>
    <row r="6">
      <c r="A6" s="31" t="inlineStr">
        <is>
          <t>VM-02</t>
        </is>
      </c>
      <c r="B6" s="31" t="inlineStr">
        <is>
          <t>Critical Vulnerability SLA</t>
        </is>
      </c>
      <c r="C6" s="31" t="inlineStr">
        <is>
          <t>CC7</t>
        </is>
      </c>
      <c r="D6" s="31" t="inlineStr">
        <is>
          <t>Security</t>
        </is>
      </c>
      <c r="E6" s="31" t="inlineStr">
        <is>
          <t>Security Engineer</t>
        </is>
      </c>
      <c r="F6" s="31" t="inlineStr">
        <is>
          <t>Monthly</t>
        </is>
      </c>
      <c r="G6" s="31" t="inlineStr">
        <is>
          <t>Partial</t>
        </is>
      </c>
      <c r="H6" s="31" t="inlineStr">
        <is>
          <t>Aging report and exceptions</t>
        </is>
      </c>
      <c r="I6" s="31" t="inlineStr">
        <is>
          <t>Medium</t>
        </is>
      </c>
      <c r="J6" s="31" t="inlineStr">
        <is>
          <t>Security Operations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CC7</t>
        </is>
      </c>
      <c r="D7" s="31" t="inlineStr">
        <is>
          <t>Security</t>
        </is>
      </c>
      <c r="E7" s="31" t="inlineStr">
        <is>
          <t>Security Ops</t>
        </is>
      </c>
      <c r="F7" s="31" t="inlineStr">
        <is>
          <t>Continuous</t>
        </is>
      </c>
      <c r="G7" s="31" t="inlineStr">
        <is>
          <t>Partial</t>
        </is>
      </c>
      <c r="H7" s="31" t="inlineStr">
        <is>
          <t>Log source inventory</t>
        </is>
      </c>
      <c r="I7" s="31" t="inlineStr">
        <is>
          <t>Medium</t>
        </is>
      </c>
      <c r="J7" s="31" t="inlineStr">
        <is>
          <t>Security Operations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CC7</t>
        </is>
      </c>
      <c r="D8" s="31" t="inlineStr">
        <is>
          <t>Security</t>
        </is>
      </c>
      <c r="E8" s="31" t="inlineStr">
        <is>
          <t>CISO</t>
        </is>
      </c>
      <c r="F8" s="31" t="inlineStr">
        <is>
          <t>Annual</t>
        </is>
      </c>
      <c r="G8" s="31" t="inlineStr">
        <is>
          <t>Ready</t>
        </is>
      </c>
      <c r="H8" s="31" t="inlineStr">
        <is>
          <t>Approved IR plan</t>
        </is>
      </c>
      <c r="I8" s="31" t="inlineStr">
        <is>
          <t>Medium</t>
        </is>
      </c>
      <c r="J8" s="31" t="inlineStr">
        <is>
          <t>Security Operations</t>
        </is>
      </c>
    </row>
    <row r="9">
      <c r="A9" s="31" t="inlineStr">
        <is>
          <t>IR-02</t>
        </is>
      </c>
      <c r="B9" s="31" t="inlineStr">
        <is>
          <t>Incident Tabletop</t>
        </is>
      </c>
      <c r="C9" s="31" t="inlineStr">
        <is>
          <t>CC7</t>
        </is>
      </c>
      <c r="D9" s="31" t="inlineStr">
        <is>
          <t>Security</t>
        </is>
      </c>
      <c r="E9" s="31" t="inlineStr">
        <is>
          <t>CISO</t>
        </is>
      </c>
      <c r="F9" s="31" t="inlineStr">
        <is>
          <t>Annual</t>
        </is>
      </c>
      <c r="G9" s="31" t="inlineStr">
        <is>
          <t>Not Ready</t>
        </is>
      </c>
      <c r="H9" s="31" t="inlineStr">
        <is>
          <t>Tabletop evidence</t>
        </is>
      </c>
      <c r="I9" s="31" t="inlineStr">
        <is>
          <t>Medium</t>
        </is>
      </c>
      <c r="J9" s="31" t="inlineStr">
        <is>
          <t>Security Operations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A1</t>
        </is>
      </c>
      <c r="D10" s="31" t="inlineStr">
        <is>
          <t>Availability</t>
        </is>
      </c>
      <c r="E10" s="31" t="inlineStr">
        <is>
          <t>Infrastructure</t>
        </is>
      </c>
      <c r="F10" s="31" t="inlineStr">
        <is>
          <t>Daily</t>
        </is>
      </c>
      <c r="G10" s="31" t="inlineStr">
        <is>
          <t>Ready</t>
        </is>
      </c>
      <c r="H10" s="31" t="inlineStr">
        <is>
          <t>Backup logs</t>
        </is>
      </c>
      <c r="I10" s="31" t="inlineStr">
        <is>
          <t>Medium</t>
        </is>
      </c>
      <c r="J10" s="31" t="inlineStr">
        <is>
          <t>Availability</t>
        </is>
      </c>
    </row>
    <row r="11">
      <c r="A11" s="31" t="inlineStr">
        <is>
          <t>BC-02</t>
        </is>
      </c>
      <c r="B11" s="31" t="inlineStr">
        <is>
          <t>Restore Testing</t>
        </is>
      </c>
      <c r="C11" s="31" t="inlineStr">
        <is>
          <t>A1</t>
        </is>
      </c>
      <c r="D11" s="31" t="inlineStr">
        <is>
          <t>Availability</t>
        </is>
      </c>
      <c r="E11" s="31" t="inlineStr">
        <is>
          <t>Infrastructure</t>
        </is>
      </c>
      <c r="F11" s="31" t="inlineStr">
        <is>
          <t>Annual</t>
        </is>
      </c>
      <c r="G11" s="31" t="inlineStr">
        <is>
          <t>Partial</t>
        </is>
      </c>
      <c r="H11" s="31" t="inlineStr">
        <is>
          <t>Restore test record</t>
        </is>
      </c>
      <c r="I11" s="31" t="inlineStr">
        <is>
          <t>Medium</t>
        </is>
      </c>
      <c r="J11" s="31" t="inlineStr">
        <is>
          <t>Availability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CC9</t>
        </is>
      </c>
      <c r="D12" s="31" t="inlineStr">
        <is>
          <t>Security</t>
        </is>
      </c>
      <c r="E12" s="31" t="inlineStr">
        <is>
          <t>GRC Lead</t>
        </is>
      </c>
      <c r="F12" s="31" t="inlineStr">
        <is>
          <t>Annual</t>
        </is>
      </c>
      <c r="G12" s="31" t="inlineStr">
        <is>
          <t>Partial</t>
        </is>
      </c>
      <c r="H12" s="31" t="inlineStr">
        <is>
          <t>Vendor review evidence</t>
        </is>
      </c>
      <c r="I12" s="31" t="inlineStr">
        <is>
          <t>High</t>
        </is>
      </c>
      <c r="J12" s="31" t="inlineStr">
        <is>
          <t>Vendor / Cloud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CC8</t>
        </is>
      </c>
      <c r="D13" s="31" t="inlineStr">
        <is>
          <t>Security</t>
        </is>
      </c>
      <c r="E13" s="31" t="inlineStr">
        <is>
          <t>Engineering</t>
        </is>
      </c>
      <c r="F13" s="31" t="inlineStr">
        <is>
          <t>Per change</t>
        </is>
      </c>
      <c r="G13" s="31" t="inlineStr">
        <is>
          <t>Ready</t>
        </is>
      </c>
      <c r="H13" s="31" t="inlineStr">
        <is>
          <t>Pull request approvals</t>
        </is>
      </c>
      <c r="I13" s="31" t="inlineStr">
        <is>
          <t>Medium</t>
        </is>
      </c>
      <c r="J13" s="31" t="inlineStr">
        <is>
          <t>Security Operations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CC2</t>
        </is>
      </c>
      <c r="D14" s="31" t="inlineStr">
        <is>
          <t>Security</t>
        </is>
      </c>
      <c r="E14" s="31" t="inlineStr">
        <is>
          <t>People Ops</t>
        </is>
      </c>
      <c r="F14" s="31" t="inlineStr">
        <is>
          <t>Annual</t>
        </is>
      </c>
      <c r="G14" s="31" t="inlineStr">
        <is>
          <t>Partial</t>
        </is>
      </c>
      <c r="H14" s="31" t="inlineStr">
        <is>
          <t>Training completion report</t>
        </is>
      </c>
      <c r="I14" s="31" t="inlineStr">
        <is>
          <t>Low</t>
        </is>
      </c>
      <c r="J14" s="31" t="inlineStr">
        <is>
          <t>Governance / Evidence</t>
        </is>
      </c>
    </row>
    <row r="15">
      <c r="A15" s="31" t="inlineStr">
        <is>
          <t>POL-01</t>
        </is>
      </c>
      <c r="B15" s="31" t="inlineStr">
        <is>
          <t>Security Policy Review</t>
        </is>
      </c>
      <c r="C15" s="31" t="inlineStr">
        <is>
          <t>CC1</t>
        </is>
      </c>
      <c r="D15" s="31" t="inlineStr">
        <is>
          <t>Security</t>
        </is>
      </c>
      <c r="E15" s="31" t="inlineStr">
        <is>
          <t>GRC Lead</t>
        </is>
      </c>
      <c r="F15" s="31" t="inlineStr">
        <is>
          <t>Annual</t>
        </is>
      </c>
      <c r="G15" s="31" t="inlineStr">
        <is>
          <t>Partial</t>
        </is>
      </c>
      <c r="H15" s="31" t="inlineStr">
        <is>
          <t>Approved policies</t>
        </is>
      </c>
      <c r="I15" s="31" t="inlineStr">
        <is>
          <t>Medium</t>
        </is>
      </c>
      <c r="J15" s="31" t="inlineStr">
        <is>
          <t>Governance / Evidence</t>
        </is>
      </c>
    </row>
    <row r="16">
      <c r="A16" s="31" t="inlineStr">
        <is>
          <t>DATA-01</t>
        </is>
      </c>
      <c r="B16" s="31" t="inlineStr">
        <is>
          <t>Data Retention</t>
        </is>
      </c>
      <c r="C16" s="31" t="inlineStr">
        <is>
          <t>C1</t>
        </is>
      </c>
      <c r="D16" s="31" t="inlineStr">
        <is>
          <t>Confidentiality</t>
        </is>
      </c>
      <c r="E16" s="31" t="inlineStr">
        <is>
          <t>Legal</t>
        </is>
      </c>
      <c r="F16" s="31" t="inlineStr">
        <is>
          <t>Annual</t>
        </is>
      </c>
      <c r="G16" s="31" t="inlineStr">
        <is>
          <t>Partial</t>
        </is>
      </c>
      <c r="H16" s="31" t="inlineStr">
        <is>
          <t>Retention matrix</t>
        </is>
      </c>
      <c r="I16" s="31" t="inlineStr">
        <is>
          <t>Medium</t>
        </is>
      </c>
      <c r="J16" s="31" t="inlineStr">
        <is>
          <t>Governance / Evidence</t>
        </is>
      </c>
    </row>
    <row r="17">
      <c r="A17" s="31" t="inlineStr">
        <is>
          <t>CLD-01</t>
        </is>
      </c>
      <c r="B17" s="31" t="inlineStr">
        <is>
          <t>Cloud Configuration Monitoring</t>
        </is>
      </c>
      <c r="C17" s="31" t="inlineStr">
        <is>
          <t>CC7</t>
        </is>
      </c>
      <c r="D17" s="31" t="inlineStr">
        <is>
          <t>Security</t>
        </is>
      </c>
      <c r="E17" s="31" t="inlineStr">
        <is>
          <t>Cloud Engineering</t>
        </is>
      </c>
      <c r="F17" s="31" t="inlineStr">
        <is>
          <t>Monthly</t>
        </is>
      </c>
      <c r="G17" s="31" t="inlineStr">
        <is>
          <t>Partial</t>
        </is>
      </c>
      <c r="H17" s="31" t="inlineStr">
        <is>
          <t>Configuration report</t>
        </is>
      </c>
      <c r="I17" s="31" t="inlineStr">
        <is>
          <t>High</t>
        </is>
      </c>
      <c r="J17" s="31" t="inlineStr">
        <is>
          <t>Vendor / Cloud</t>
        </is>
      </c>
    </row>
    <row r="18">
      <c r="A18" s="31" t="inlineStr">
        <is>
          <t>HR-01</t>
        </is>
      </c>
      <c r="B18" s="31" t="inlineStr">
        <is>
          <t>Background Checks</t>
        </is>
      </c>
      <c r="C18" s="31" t="inlineStr">
        <is>
          <t>CC1</t>
        </is>
      </c>
      <c r="D18" s="31" t="inlineStr">
        <is>
          <t>Security</t>
        </is>
      </c>
      <c r="E18" s="31" t="inlineStr">
        <is>
          <t>People Ops</t>
        </is>
      </c>
      <c r="F18" s="31" t="inlineStr">
        <is>
          <t>Per hire</t>
        </is>
      </c>
      <c r="G18" s="31" t="inlineStr">
        <is>
          <t>Ready</t>
        </is>
      </c>
      <c r="H18" s="31" t="inlineStr">
        <is>
          <t>Background screening evidence</t>
        </is>
      </c>
      <c r="I18" s="31" t="inlineStr">
        <is>
          <t>Low</t>
        </is>
      </c>
      <c r="J18" s="31" t="inlineStr">
        <is>
          <t>Governance / Evidence</t>
        </is>
      </c>
    </row>
    <row r="19">
      <c r="A19" s="31" t="inlineStr">
        <is>
          <t>PRIV-01</t>
        </is>
      </c>
      <c r="B19" s="31" t="inlineStr">
        <is>
          <t>Privacy Commitments</t>
        </is>
      </c>
      <c r="C19" s="31" t="inlineStr">
        <is>
          <t>P1</t>
        </is>
      </c>
      <c r="D19" s="31" t="inlineStr">
        <is>
          <t>Privacy</t>
        </is>
      </c>
      <c r="E19" s="31" t="inlineStr">
        <is>
          <t>Legal</t>
        </is>
      </c>
      <c r="F19" s="31" t="inlineStr">
        <is>
          <t>Annual</t>
        </is>
      </c>
      <c r="G19" s="31" t="inlineStr">
        <is>
          <t>Partial</t>
        </is>
      </c>
      <c r="H19" s="31" t="inlineStr">
        <is>
          <t>Privacy notice and DPA</t>
        </is>
      </c>
      <c r="I19" s="31" t="inlineStr">
        <is>
          <t>Medium</t>
        </is>
      </c>
      <c r="J19" s="31" t="inlineStr">
        <is>
          <t>Governance / Evidence</t>
        </is>
      </c>
    </row>
    <row r="20">
      <c r="A20" s="31" t="inlineStr">
        <is>
          <t>EVD-01</t>
        </is>
      </c>
      <c r="B20" s="31" t="inlineStr">
        <is>
          <t>Evidence Ownership</t>
        </is>
      </c>
      <c r="C20" s="31" t="inlineStr">
        <is>
          <t>CC3</t>
        </is>
      </c>
      <c r="D20" s="31" t="inlineStr">
        <is>
          <t>Security</t>
        </is>
      </c>
      <c r="E20" s="31" t="inlineStr">
        <is>
          <t>GRC Lead</t>
        </is>
      </c>
      <c r="F20" s="31" t="inlineStr">
        <is>
          <t>Monthly</t>
        </is>
      </c>
      <c r="G20" s="31" t="inlineStr">
        <is>
          <t>Partial</t>
        </is>
      </c>
      <c r="H20" s="31" t="inlineStr">
        <is>
          <t>Evidence owner matrix</t>
        </is>
      </c>
      <c r="I20" s="31" t="inlineStr">
        <is>
          <t>Medium</t>
        </is>
      </c>
      <c r="J20" s="31" t="inlineStr">
        <is>
          <t>Governance / Evidence</t>
        </is>
      </c>
    </row>
    <row r="21">
      <c r="A21" s="31" t="inlineStr">
        <is>
          <t>RISK-01</t>
        </is>
      </c>
      <c r="B21" s="31" t="inlineStr">
        <is>
          <t>Risk Register Review</t>
        </is>
      </c>
      <c r="C21" s="31" t="inlineStr">
        <is>
          <t>CC3</t>
        </is>
      </c>
      <c r="D21" s="31" t="inlineStr">
        <is>
          <t>Security</t>
        </is>
      </c>
      <c r="E21" s="31" t="inlineStr">
        <is>
          <t>CISO</t>
        </is>
      </c>
      <c r="F21" s="31" t="inlineStr">
        <is>
          <t>Quarterly</t>
        </is>
      </c>
      <c r="G21" s="31" t="inlineStr">
        <is>
          <t>Ready</t>
        </is>
      </c>
      <c r="H21" s="31" t="inlineStr">
        <is>
          <t>Risk register review record</t>
        </is>
      </c>
      <c r="I21" s="31" t="inlineStr">
        <is>
          <t>Medium</t>
        </is>
      </c>
      <c r="J21" s="31" t="inlineStr">
        <is>
          <t>Governance / Evidence</t>
        </is>
      </c>
    </row>
    <row r="22">
      <c r="A22" s="31" t="inlineStr">
        <is>
          <t>TRUST-01</t>
        </is>
      </c>
      <c r="B22" s="31" t="inlineStr">
        <is>
          <t>Customer Assurance Responses</t>
        </is>
      </c>
      <c r="C22" s="31" t="inlineStr">
        <is>
          <t>CC2</t>
        </is>
      </c>
      <c r="D22" s="31" t="inlineStr">
        <is>
          <t>Security</t>
        </is>
      </c>
      <c r="E22" s="31" t="inlineStr">
        <is>
          <t>GRC Lead</t>
        </is>
      </c>
      <c r="F22" s="31" t="inlineStr">
        <is>
          <t>As needed</t>
        </is>
      </c>
      <c r="G22" s="31" t="inlineStr">
        <is>
          <t>Partial</t>
        </is>
      </c>
      <c r="H22" s="31" t="inlineStr">
        <is>
          <t>Questionnaire response archive</t>
        </is>
      </c>
      <c r="I22" s="31" t="inlineStr">
        <is>
          <t>Low</t>
        </is>
      </c>
      <c r="J22" s="31" t="inlineStr">
        <is>
          <t>Governance / Evidence</t>
        </is>
      </c>
    </row>
    <row r="23">
      <c r="A23" s="32" t="inlineStr">
        <is>
          <t>MON-01</t>
        </is>
      </c>
      <c r="B23" s="32" t="inlineStr">
        <is>
          <t>Security Metrics Reporting</t>
        </is>
      </c>
      <c r="C23" s="32" t="inlineStr">
        <is>
          <t>CC4</t>
        </is>
      </c>
      <c r="D23" s="32" t="inlineStr">
        <is>
          <t>Security</t>
        </is>
      </c>
      <c r="E23" s="32" t="inlineStr">
        <is>
          <t>CISO</t>
        </is>
      </c>
      <c r="F23" s="32" t="inlineStr">
        <is>
          <t>Quarterly</t>
        </is>
      </c>
      <c r="G23" s="32" t="inlineStr">
        <is>
          <t>Partial</t>
        </is>
      </c>
      <c r="H23" s="32" t="inlineStr">
        <is>
          <t>Security metrics dashboard</t>
        </is>
      </c>
      <c r="I23" s="32" t="inlineStr">
        <is>
          <t>Medium</t>
        </is>
      </c>
      <c r="J23" s="32" t="inlineStr">
        <is>
          <t>Governance / Evidence</t>
        </is>
      </c>
    </row>
  </sheetData>
  <conditionalFormatting sqref="G2:G23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I2:I23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dataValidations count="1">
    <dataValidation sqref="J2:J23" showDropDown="0" showInputMessage="0" showErrorMessage="1" allowBlank="0" errorTitle="Choose one readiness area" error="Use one of the five dashboard areas." type="list" errorStyle="stop">
      <formula1>"Access Control,Security Operations,Availability,Vendor / Cloud,Governance / Evidence"</formula1>
    </dataValidation>
  </dataValidations>
  <pageMargins left="0.25" right="0.25" top="0.35" bottom="0.35" header="0.15" footer="0.1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2" customWidth="1" min="4" max="4"/>
    <col width="14" customWidth="1" min="5" max="5"/>
    <col width="16" customWidth="1" min="6" max="6"/>
    <col width="52" customWidth="1" min="7" max="7"/>
    <col width="14" customWidth="1" min="8" max="8"/>
  </cols>
  <sheetData>
    <row r="1">
      <c r="A1" s="27" t="inlineStr">
        <is>
          <t>Request ID</t>
        </is>
      </c>
      <c r="B1" s="28" t="inlineStr">
        <is>
          <t>Control ID</t>
        </is>
      </c>
      <c r="C1" s="28" t="inlineStr">
        <is>
          <t>Evidence Requested</t>
        </is>
      </c>
      <c r="D1" s="28" t="inlineStr">
        <is>
          <t>Owner</t>
        </is>
      </c>
      <c r="E1" s="28" t="inlineStr">
        <is>
          <t>Due Date</t>
        </is>
      </c>
      <c r="F1" s="28" t="inlineStr">
        <is>
          <t>Status</t>
        </is>
      </c>
      <c r="G1" s="28" t="inlineStr">
        <is>
          <t>Auditor-Style Comment</t>
        </is>
      </c>
      <c r="H1" s="29" t="inlineStr">
        <is>
          <t>Priority</t>
        </is>
      </c>
    </row>
    <row r="2">
      <c r="A2" s="30" t="inlineStr">
        <is>
          <t>PBC-001</t>
        </is>
      </c>
      <c r="B2" s="30" t="inlineStr">
        <is>
          <t>AC-01</t>
        </is>
      </c>
      <c r="C2" s="30" t="inlineStr">
        <is>
          <t>MFA configuration export</t>
        </is>
      </c>
      <c r="D2" s="30" t="inlineStr">
        <is>
          <t>VP of IT</t>
        </is>
      </c>
      <c r="E2" s="39" t="n">
        <v>46281</v>
      </c>
      <c r="F2" s="30" t="inlineStr">
        <is>
          <t>Received</t>
        </is>
      </c>
      <c r="G2" s="30" t="inlineStr">
        <is>
          <t>Covers employees; contractor exceptions need follow-up</t>
        </is>
      </c>
      <c r="H2" s="30" t="inlineStr">
        <is>
          <t>High</t>
        </is>
      </c>
    </row>
    <row r="3">
      <c r="A3" s="31" t="inlineStr">
        <is>
          <t>PBC-002</t>
        </is>
      </c>
      <c r="B3" s="31" t="inlineStr">
        <is>
          <t>AC-02</t>
        </is>
      </c>
      <c r="C3" s="31" t="inlineStr">
        <is>
          <t>Q2 access review evidence</t>
        </is>
      </c>
      <c r="D3" s="31" t="inlineStr">
        <is>
          <t>GRC Lead</t>
        </is>
      </c>
      <c r="E3" s="40" t="n">
        <v>46288</v>
      </c>
      <c r="F3" s="31" t="inlineStr">
        <is>
          <t>Partial</t>
        </is>
      </c>
      <c r="G3" s="31" t="inlineStr">
        <is>
          <t>Missing approval timestamp</t>
        </is>
      </c>
      <c r="H3" s="31" t="inlineStr">
        <is>
          <t>Medium</t>
        </is>
      </c>
    </row>
    <row r="4">
      <c r="A4" s="31" t="inlineStr">
        <is>
          <t>PBC-003</t>
        </is>
      </c>
      <c r="B4" s="31" t="inlineStr">
        <is>
          <t>VM-01</t>
        </is>
      </c>
      <c r="C4" s="31" t="inlineStr">
        <is>
          <t>Monthly vulnerability scan reports</t>
        </is>
      </c>
      <c r="D4" s="31" t="inlineStr">
        <is>
          <t>Security Engineer</t>
        </is>
      </c>
      <c r="E4" s="40" t="n">
        <v>46290</v>
      </c>
      <c r="F4" s="31" t="inlineStr">
        <is>
          <t>Received</t>
        </is>
      </c>
      <c r="G4" s="31" t="inlineStr">
        <is>
          <t>Need aging summary</t>
        </is>
      </c>
      <c r="H4" s="31" t="inlineStr">
        <is>
          <t>Medium</t>
        </is>
      </c>
    </row>
    <row r="5">
      <c r="A5" s="31" t="inlineStr">
        <is>
          <t>PBC-004</t>
        </is>
      </c>
      <c r="B5" s="31" t="inlineStr">
        <is>
          <t>IR-02</t>
        </is>
      </c>
      <c r="C5" s="31" t="inlineStr">
        <is>
          <t>Incident tabletop evidence</t>
        </is>
      </c>
      <c r="D5" s="31" t="inlineStr">
        <is>
          <t>CISO</t>
        </is>
      </c>
      <c r="E5" s="40" t="n">
        <v>46315</v>
      </c>
      <c r="F5" s="31" t="inlineStr">
        <is>
          <t>Missing</t>
        </is>
      </c>
      <c r="G5" s="31" t="inlineStr">
        <is>
          <t>No current-year exercise</t>
        </is>
      </c>
      <c r="H5" s="31" t="inlineStr">
        <is>
          <t>Medium</t>
        </is>
      </c>
    </row>
    <row r="6">
      <c r="A6" s="31" t="inlineStr">
        <is>
          <t>PBC-005</t>
        </is>
      </c>
      <c r="B6" s="31" t="inlineStr">
        <is>
          <t>BC-02</t>
        </is>
      </c>
      <c r="C6" s="31" t="inlineStr">
        <is>
          <t>Backup restoration test</t>
        </is>
      </c>
      <c r="D6" s="31" t="inlineStr">
        <is>
          <t>Infrastructure</t>
        </is>
      </c>
      <c r="E6" s="40" t="n">
        <v>46322</v>
      </c>
      <c r="F6" s="31" t="inlineStr">
        <is>
          <t>Partial</t>
        </is>
      </c>
      <c r="G6" s="31" t="inlineStr">
        <is>
          <t>Restore test scheduled</t>
        </is>
      </c>
      <c r="H6" s="31" t="inlineStr">
        <is>
          <t>Medium</t>
        </is>
      </c>
    </row>
    <row r="7">
      <c r="A7" s="31" t="inlineStr">
        <is>
          <t>PBC-006</t>
        </is>
      </c>
      <c r="B7" s="31" t="inlineStr">
        <is>
          <t>TPRM-01</t>
        </is>
      </c>
      <c r="C7" s="31" t="inlineStr">
        <is>
          <t>Critical vendor review evidence</t>
        </is>
      </c>
      <c r="D7" s="31" t="inlineStr">
        <is>
          <t>GRC Lead</t>
        </is>
      </c>
      <c r="E7" s="40" t="n">
        <v>46290</v>
      </c>
      <c r="F7" s="31" t="inlineStr">
        <is>
          <t>Partial</t>
        </is>
      </c>
      <c r="G7" s="31" t="inlineStr">
        <is>
          <t>DataFlow findings open</t>
        </is>
      </c>
      <c r="H7" s="31" t="inlineStr">
        <is>
          <t>High</t>
        </is>
      </c>
    </row>
    <row r="8">
      <c r="A8" s="31" t="inlineStr">
        <is>
          <t>PBC-007</t>
        </is>
      </c>
      <c r="B8" s="31" t="inlineStr">
        <is>
          <t>CHG-01</t>
        </is>
      </c>
      <c r="C8" s="31" t="inlineStr">
        <is>
          <t>Production change sample</t>
        </is>
      </c>
      <c r="D8" s="31" t="inlineStr">
        <is>
          <t>Engineering</t>
        </is>
      </c>
      <c r="E8" s="40" t="n">
        <v>46290</v>
      </c>
      <c r="F8" s="31" t="inlineStr">
        <is>
          <t>Received</t>
        </is>
      </c>
      <c r="G8" s="31" t="inlineStr">
        <is>
          <t>No exception noted</t>
        </is>
      </c>
      <c r="H8" s="31" t="inlineStr">
        <is>
          <t>Medium</t>
        </is>
      </c>
    </row>
    <row r="9">
      <c r="A9" s="31" t="inlineStr">
        <is>
          <t>PBC-008</t>
        </is>
      </c>
      <c r="B9" s="31" t="inlineStr">
        <is>
          <t>SEC-01</t>
        </is>
      </c>
      <c r="C9" s="31" t="inlineStr">
        <is>
          <t>Training completion report</t>
        </is>
      </c>
      <c r="D9" s="31" t="inlineStr">
        <is>
          <t>People Ops</t>
        </is>
      </c>
      <c r="E9" s="40" t="n">
        <v>46300</v>
      </c>
      <c r="F9" s="31" t="inlineStr">
        <is>
          <t>Partial</t>
        </is>
      </c>
      <c r="G9" s="31" t="inlineStr">
        <is>
          <t>Contractor report missing</t>
        </is>
      </c>
      <c r="H9" s="31" t="inlineStr">
        <is>
          <t>Low</t>
        </is>
      </c>
    </row>
    <row r="10">
      <c r="A10" s="31" t="inlineStr">
        <is>
          <t>PBC-009</t>
        </is>
      </c>
      <c r="B10" s="31" t="inlineStr">
        <is>
          <t>POL-01</t>
        </is>
      </c>
      <c r="C10" s="31" t="inlineStr">
        <is>
          <t>Approved policy set</t>
        </is>
      </c>
      <c r="D10" s="31" t="inlineStr">
        <is>
          <t>GRC Lead</t>
        </is>
      </c>
      <c r="E10" s="40" t="n">
        <v>46281</v>
      </c>
      <c r="F10" s="31" t="inlineStr">
        <is>
          <t>Received</t>
        </is>
      </c>
      <c r="G10" s="31" t="inlineStr">
        <is>
          <t>Review calendar needed</t>
        </is>
      </c>
      <c r="H10" s="31" t="inlineStr">
        <is>
          <t>Medium</t>
        </is>
      </c>
    </row>
    <row r="11">
      <c r="A11" s="32" t="inlineStr">
        <is>
          <t>PBC-010</t>
        </is>
      </c>
      <c r="B11" s="32" t="inlineStr">
        <is>
          <t>CLD-01</t>
        </is>
      </c>
      <c r="C11" s="32" t="inlineStr">
        <is>
          <t>Cloud configuration monitoring report</t>
        </is>
      </c>
      <c r="D11" s="32" t="inlineStr">
        <is>
          <t>Cloud Engineering</t>
        </is>
      </c>
      <c r="E11" s="41" t="n">
        <v>46311</v>
      </c>
      <c r="F11" s="32" t="inlineStr">
        <is>
          <t>Partial</t>
        </is>
      </c>
      <c r="G11" s="32" t="inlineStr">
        <is>
          <t>Exceptions not formally reviewed</t>
        </is>
      </c>
      <c r="H11" s="32" t="inlineStr">
        <is>
          <t>High</t>
        </is>
      </c>
    </row>
    <row r="12">
      <c r="A12" s="32" t="inlineStr">
        <is>
          <t>PBC-011</t>
        </is>
      </c>
      <c r="B12" s="32" t="inlineStr">
        <is>
          <t>LOG-01</t>
        </is>
      </c>
      <c r="C12" s="32" t="inlineStr">
        <is>
          <t>Log source inventory and alert routing matrix</t>
        </is>
      </c>
      <c r="D12" s="32" t="inlineStr">
        <is>
          <t>Security Ops</t>
        </is>
      </c>
      <c r="E12" s="41" t="n">
        <v>46300</v>
      </c>
      <c r="F12" s="32" t="inlineStr">
        <is>
          <t>Missing</t>
        </is>
      </c>
      <c r="G12" s="32" t="inlineStr">
        <is>
          <t>Inventory not started; see SOCF-006</t>
        </is>
      </c>
      <c r="H12" s="32" t="inlineStr">
        <is>
          <t>Medium</t>
        </is>
      </c>
    </row>
    <row r="13">
      <c r="A13" s="32" t="inlineStr">
        <is>
          <t>PBC-012</t>
        </is>
      </c>
      <c r="B13" s="32" t="inlineStr">
        <is>
          <t>EVD-01</t>
        </is>
      </c>
      <c r="C13" s="32" t="inlineStr">
        <is>
          <t>Evidence owner matrix</t>
        </is>
      </c>
      <c r="D13" s="32" t="inlineStr">
        <is>
          <t>GRC Lead</t>
        </is>
      </c>
      <c r="E13" s="41" t="n">
        <v>46290</v>
      </c>
      <c r="F13" s="32" t="inlineStr">
        <is>
          <t>Partial</t>
        </is>
      </c>
      <c r="G13" s="32" t="inlineStr">
        <is>
          <t>Draft names owners for 14 of 22 controls</t>
        </is>
      </c>
      <c r="H13" s="32" t="inlineStr">
        <is>
          <t>Medium</t>
        </is>
      </c>
    </row>
    <row r="14">
      <c r="A14" s="32" t="inlineStr">
        <is>
          <t>PBC-013</t>
        </is>
      </c>
      <c r="B14" s="32" t="inlineStr">
        <is>
          <t>PRIV-01</t>
        </is>
      </c>
      <c r="C14" s="32" t="inlineStr">
        <is>
          <t>Privacy notice and customer DPA template</t>
        </is>
      </c>
      <c r="D14" s="32" t="inlineStr">
        <is>
          <t>Legal</t>
        </is>
      </c>
      <c r="E14" s="41" t="n">
        <v>46304</v>
      </c>
      <c r="F14" s="32" t="inlineStr">
        <is>
          <t>Received</t>
        </is>
      </c>
      <c r="G14" s="32" t="inlineStr">
        <is>
          <t>DPA subprocessor list predates DataFlow AI</t>
        </is>
      </c>
      <c r="H14" s="32" t="inlineStr">
        <is>
          <t>Low</t>
        </is>
      </c>
    </row>
  </sheetData>
  <conditionalFormatting sqref="F2:F14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H2:H14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4" customWidth="1" min="4" max="4"/>
    <col width="42" customWidth="1" min="5" max="5"/>
    <col width="48" customWidth="1" min="6" max="6"/>
    <col width="22" customWidth="1" min="7" max="7"/>
    <col width="14" customWidth="1" min="8" max="8"/>
    <col width="16" customWidth="1" min="9" max="9"/>
  </cols>
  <sheetData>
    <row r="1">
      <c r="A1" s="27" t="inlineStr">
        <is>
          <t>Finding ID</t>
        </is>
      </c>
      <c r="B1" s="28" t="inlineStr">
        <is>
          <t>Control ID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Root Cause</t>
        </is>
      </c>
      <c r="F1" s="28" t="inlineStr">
        <is>
          <t>Corrective Action</t>
        </is>
      </c>
      <c r="G1" s="28" t="inlineStr">
        <is>
          <t>Owner</t>
        </is>
      </c>
      <c r="H1" s="28" t="inlineStr">
        <is>
          <t>Target Date</t>
        </is>
      </c>
      <c r="I1" s="29" t="inlineStr">
        <is>
          <t>Status</t>
        </is>
      </c>
    </row>
    <row r="2">
      <c r="A2" s="30" t="inlineStr">
        <is>
          <t>SOCF-001</t>
        </is>
      </c>
      <c r="B2" s="30" t="inlineStr">
        <is>
          <t>AC-01</t>
        </is>
      </c>
      <c r="C2" s="30" t="inlineStr">
        <is>
          <t>Contractor MFA evidence incomplete</t>
        </is>
      </c>
      <c r="D2" s="30" t="inlineStr">
        <is>
          <t>High</t>
        </is>
      </c>
      <c r="E2" s="30" t="inlineStr">
        <is>
          <t>Contractor identity process outside normal evidence review</t>
        </is>
      </c>
      <c r="F2" s="30" t="inlineStr">
        <is>
          <t>Require contractor MFA report and update onboarding</t>
        </is>
      </c>
      <c r="G2" s="30" t="inlineStr">
        <is>
          <t>VP of IT</t>
        </is>
      </c>
      <c r="H2" s="39" t="n">
        <v>46290</v>
      </c>
      <c r="I2" s="30" t="inlineStr">
        <is>
          <t>Open</t>
        </is>
      </c>
    </row>
    <row r="3">
      <c r="A3" s="31" t="inlineStr">
        <is>
          <t>SOCF-002</t>
        </is>
      </c>
      <c r="B3" s="31" t="inlineStr">
        <is>
          <t>AC-02</t>
        </is>
      </c>
      <c r="C3" s="31" t="inlineStr">
        <is>
          <t>Access review approval evidence incomplete</t>
        </is>
      </c>
      <c r="D3" s="31" t="inlineStr">
        <is>
          <t>Medium</t>
        </is>
      </c>
      <c r="E3" s="31" t="inlineStr">
        <is>
          <t>Manual review evidence lacks timestamp</t>
        </is>
      </c>
      <c r="F3" s="31" t="inlineStr">
        <is>
          <t>Adopt dated approval workflow</t>
        </is>
      </c>
      <c r="G3" s="31" t="inlineStr">
        <is>
          <t>GRC Lead</t>
        </is>
      </c>
      <c r="H3" s="40" t="n">
        <v>46315</v>
      </c>
      <c r="I3" s="31" t="inlineStr">
        <is>
          <t>Open</t>
        </is>
      </c>
    </row>
    <row r="4">
      <c r="A4" s="31" t="inlineStr">
        <is>
          <t>SOCF-003</t>
        </is>
      </c>
      <c r="B4" s="31" t="inlineStr">
        <is>
          <t>IR-02</t>
        </is>
      </c>
      <c r="C4" s="31" t="inlineStr">
        <is>
          <t>No current-year tabletop evidence</t>
        </is>
      </c>
      <c r="D4" s="31" t="inlineStr">
        <is>
          <t>Medium</t>
        </is>
      </c>
      <c r="E4" s="31" t="inlineStr">
        <is>
          <t>Exercise not completed before readiness review</t>
        </is>
      </c>
      <c r="F4" s="31" t="inlineStr">
        <is>
          <t>Conduct tabletop and retain lessons learned</t>
        </is>
      </c>
      <c r="G4" s="31" t="inlineStr">
        <is>
          <t>CISO</t>
        </is>
      </c>
      <c r="H4" s="40" t="n">
        <v>46338</v>
      </c>
      <c r="I4" s="31" t="inlineStr">
        <is>
          <t>Planned</t>
        </is>
      </c>
    </row>
    <row r="5">
      <c r="A5" s="31" t="inlineStr">
        <is>
          <t>SOCF-004</t>
        </is>
      </c>
      <c r="B5" s="31" t="inlineStr">
        <is>
          <t>VM-02</t>
        </is>
      </c>
      <c r="C5" s="31" t="inlineStr">
        <is>
          <t>Critical vulnerability SLA exceptions not formally approved</t>
        </is>
      </c>
      <c r="D5" s="31" t="inlineStr">
        <is>
          <t>Medium</t>
        </is>
      </c>
      <c r="E5" s="31" t="inlineStr">
        <is>
          <t>Exception process not consistently documented</t>
        </is>
      </c>
      <c r="F5" s="31" t="inlineStr">
        <is>
          <t>Require risk acceptance for overdue criticals</t>
        </is>
      </c>
      <c r="G5" s="31" t="inlineStr">
        <is>
          <t>Security Engineer</t>
        </is>
      </c>
      <c r="H5" s="40" t="n">
        <v>46322</v>
      </c>
      <c r="I5" s="31" t="inlineStr">
        <is>
          <t>Open</t>
        </is>
      </c>
    </row>
    <row r="6">
      <c r="A6" s="32" t="inlineStr">
        <is>
          <t>SOCF-005</t>
        </is>
      </c>
      <c r="B6" s="32" t="inlineStr">
        <is>
          <t>EVD-01</t>
        </is>
      </c>
      <c r="C6" s="32" t="inlineStr">
        <is>
          <t>Evidence ownership decentralized</t>
        </is>
      </c>
      <c r="D6" s="32" t="inlineStr">
        <is>
          <t>Medium</t>
        </is>
      </c>
      <c r="E6" s="32" t="inlineStr">
        <is>
          <t>Evidence retained across multiple team folders</t>
        </is>
      </c>
      <c r="F6" s="32" t="inlineStr">
        <is>
          <t>Create evidence owner matrix and central tracker</t>
        </is>
      </c>
      <c r="G6" s="32" t="inlineStr">
        <is>
          <t>GRC Lead</t>
        </is>
      </c>
      <c r="H6" s="41" t="n">
        <v>46290</v>
      </c>
      <c r="I6" s="32" t="inlineStr">
        <is>
          <t>In Progress</t>
        </is>
      </c>
    </row>
    <row r="7">
      <c r="A7" s="32" t="inlineStr">
        <is>
          <t>SOCF-006</t>
        </is>
      </c>
      <c r="B7" s="32" t="inlineStr">
        <is>
          <t>LOG-01</t>
        </is>
      </c>
      <c r="C7" s="32" t="inlineStr">
        <is>
          <t>No log source inventory or named alert owners for SaaS audit logs</t>
        </is>
      </c>
      <c r="D7" s="32" t="inlineStr">
        <is>
          <t>Medium</t>
        </is>
      </c>
      <c r="E7" s="32" t="inlineStr">
        <is>
          <t>Logging was enabled tool by tool with no inventory step</t>
        </is>
      </c>
      <c r="F7" s="32" t="inlineStr">
        <is>
          <t>Build log source inventory and alert routing matrix</t>
        </is>
      </c>
      <c r="G7" s="32" t="inlineStr">
        <is>
          <t>Security Ops</t>
        </is>
      </c>
      <c r="H7" s="41" t="n">
        <v>46322</v>
      </c>
      <c r="I7" s="32" t="inlineStr">
        <is>
          <t>Open</t>
        </is>
      </c>
    </row>
  </sheetData>
  <conditionalFormatting sqref="D2:D7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4" customWidth="1" min="4" max="4"/>
    <col width="16" customWidth="1" min="5" max="5"/>
    <col width="42" customWidth="1" min="6" max="6"/>
    <col width="36" customWidth="1" min="7" max="7"/>
    <col width="46" customWidth="1" min="8" max="8"/>
  </cols>
  <sheetData>
    <row r="1">
      <c r="A1" s="27" t="inlineStr">
        <is>
          <t>Finding ID</t>
        </is>
      </c>
      <c r="B1" s="28" t="inlineStr">
        <is>
          <t>Action</t>
        </is>
      </c>
      <c r="C1" s="28" t="inlineStr">
        <is>
          <t>Owner</t>
        </is>
      </c>
      <c r="D1" s="28" t="inlineStr">
        <is>
          <t>Target Date</t>
        </is>
      </c>
      <c r="E1" s="28" t="inlineStr">
        <is>
          <t>Status</t>
        </is>
      </c>
      <c r="F1" s="28" t="inlineStr">
        <is>
          <t>Validation Method</t>
        </is>
      </c>
      <c r="G1" s="28" t="inlineStr">
        <is>
          <t>Executive Escalation</t>
        </is>
      </c>
      <c r="H1" s="29" t="inlineStr">
        <is>
          <t>Closure Evidence</t>
        </is>
      </c>
    </row>
    <row r="2">
      <c r="A2" s="30" t="inlineStr">
        <is>
          <t>SOCF-001</t>
        </is>
      </c>
      <c r="B2" s="30" t="inlineStr">
        <is>
          <t>Require contractor MFA report and update onboarding</t>
        </is>
      </c>
      <c r="C2" s="30" t="inlineStr">
        <is>
          <t>VP of IT</t>
        </is>
      </c>
      <c r="D2" s="39" t="n">
        <v>46290</v>
      </c>
      <c r="E2" s="30" t="inlineStr">
        <is>
          <t>Open</t>
        </is>
      </c>
      <c r="F2" s="30" t="inlineStr">
        <is>
          <t>Inspect updated evidence and confirm exception closure</t>
        </is>
      </c>
      <c r="G2" s="30" t="inlineStr">
        <is>
          <t>Escalate if not closed before audit period</t>
        </is>
      </c>
      <c r="H2" s="30" t="inlineStr">
        <is>
          <t>Contractor MFA report showing every active contractor enrolled</t>
        </is>
      </c>
    </row>
    <row r="3">
      <c r="A3" s="31" t="inlineStr">
        <is>
          <t>SOCF-002</t>
        </is>
      </c>
      <c r="B3" s="31" t="inlineStr">
        <is>
          <t>Adopt dated approval workflow</t>
        </is>
      </c>
      <c r="C3" s="31" t="inlineStr">
        <is>
          <t>GRC Lead</t>
        </is>
      </c>
      <c r="D3" s="40" t="n">
        <v>46315</v>
      </c>
      <c r="E3" s="31" t="inlineStr">
        <is>
          <t>Open</t>
        </is>
      </c>
      <c r="F3" s="31" t="inlineStr">
        <is>
          <t>Inspect updated evidence and confirm exception closure</t>
        </is>
      </c>
      <c r="G3" s="31" t="inlineStr">
        <is>
          <t>Track in readiness sprint</t>
        </is>
      </c>
      <c r="H3" s="31" t="inlineStr">
        <is>
          <t>Next quarterly review with a dated approval</t>
        </is>
      </c>
    </row>
    <row r="4">
      <c r="A4" s="31" t="inlineStr">
        <is>
          <t>SOCF-003</t>
        </is>
      </c>
      <c r="B4" s="31" t="inlineStr">
        <is>
          <t>Conduct tabletop and retain lessons learned</t>
        </is>
      </c>
      <c r="C4" s="31" t="inlineStr">
        <is>
          <t>CISO</t>
        </is>
      </c>
      <c r="D4" s="40" t="n">
        <v>46338</v>
      </c>
      <c r="E4" s="31" t="inlineStr">
        <is>
          <t>Planned</t>
        </is>
      </c>
      <c r="F4" s="31" t="inlineStr">
        <is>
          <t>Inspect updated evidence and confirm exception closure</t>
        </is>
      </c>
      <c r="G4" s="31" t="inlineStr">
        <is>
          <t>Track in readiness sprint</t>
        </is>
      </c>
      <c r="H4" s="31" t="inlineStr">
        <is>
          <t>Exercise report and lessons-learned tickets</t>
        </is>
      </c>
    </row>
    <row r="5">
      <c r="A5" s="31" t="inlineStr">
        <is>
          <t>SOCF-004</t>
        </is>
      </c>
      <c r="B5" s="31" t="inlineStr">
        <is>
          <t>Require risk acceptance for overdue criticals</t>
        </is>
      </c>
      <c r="C5" s="31" t="inlineStr">
        <is>
          <t>Security Engineer</t>
        </is>
      </c>
      <c r="D5" s="40" t="n">
        <v>46322</v>
      </c>
      <c r="E5" s="31" t="inlineStr">
        <is>
          <t>Open</t>
        </is>
      </c>
      <c r="F5" s="31" t="inlineStr">
        <is>
          <t>Inspect updated evidence and confirm exception closure</t>
        </is>
      </c>
      <c r="G5" s="31" t="inlineStr">
        <is>
          <t>Track in readiness sprint</t>
        </is>
      </c>
      <c r="H5" s="31" t="inlineStr">
        <is>
          <t>Approved exception record for each overdue critical</t>
        </is>
      </c>
    </row>
    <row r="6">
      <c r="A6" s="32" t="inlineStr">
        <is>
          <t>SOCF-005</t>
        </is>
      </c>
      <c r="B6" s="32" t="inlineStr">
        <is>
          <t>Create evidence owner matrix and central tracker</t>
        </is>
      </c>
      <c r="C6" s="32" t="inlineStr">
        <is>
          <t>GRC Lead</t>
        </is>
      </c>
      <c r="D6" s="41" t="n">
        <v>46290</v>
      </c>
      <c r="E6" s="32" t="inlineStr">
        <is>
          <t>In Progress</t>
        </is>
      </c>
      <c r="F6" s="32" t="inlineStr">
        <is>
          <t>Inspect updated evidence and confirm exception closure</t>
        </is>
      </c>
      <c r="G6" s="32" t="inlineStr">
        <is>
          <t>Track in readiness sprint</t>
        </is>
      </c>
      <c r="H6" s="32" t="inlineStr">
        <is>
          <t>Evidence owner matrix covering all 22 controls</t>
        </is>
      </c>
    </row>
    <row r="7">
      <c r="A7" s="32" t="inlineStr">
        <is>
          <t>SOCF-006</t>
        </is>
      </c>
      <c r="B7" s="32" t="inlineStr">
        <is>
          <t>Build log source inventory and alert routing matrix</t>
        </is>
      </c>
      <c r="C7" s="32" t="inlineStr">
        <is>
          <t>Security Ops</t>
        </is>
      </c>
      <c r="D7" s="41" t="n">
        <v>46322</v>
      </c>
      <c r="E7" s="32" t="inlineStr">
        <is>
          <t>Open</t>
        </is>
      </c>
      <c r="F7" s="32" t="inlineStr">
        <is>
          <t>Inspect inventory against cloud, identity, and SaaS sources; test one alert route end to end</t>
        </is>
      </c>
      <c r="G7" s="32" t="inlineStr">
        <is>
          <t>Track in readiness sprint</t>
        </is>
      </c>
      <c r="H7" s="32" t="inlineStr">
        <is>
          <t>Inventory plus one tested alert route per critical source</t>
        </is>
      </c>
    </row>
  </sheetData>
  <conditionalFormatting sqref="G2:G7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28" customWidth="1" min="3" max="3"/>
    <col width="48" customWidth="1" min="4" max="4"/>
  </cols>
  <sheetData>
    <row r="1">
      <c r="A1" s="4" t="inlineStr">
        <is>
          <t>Readiness Summary</t>
        </is>
      </c>
    </row>
    <row r="3">
      <c r="A3" s="18" t="inlineStr">
        <is>
          <t>Overall Status</t>
        </is>
      </c>
      <c r="B3" s="30" t="inlineStr">
        <is>
          <t>Partially Ready</t>
        </is>
      </c>
      <c r="C3" s="18" t="inlineStr">
        <is>
          <t>Executive Message</t>
        </is>
      </c>
      <c r="D3" s="19" t="inlineStr">
        <is>
          <t>Do not begin audit period until high-priority evidence gaps close.</t>
        </is>
      </c>
    </row>
    <row r="4">
      <c r="A4" s="20" t="inlineStr">
        <is>
          <t>Top Blocker</t>
        </is>
      </c>
      <c r="B4" s="31" t="inlineStr">
        <is>
          <t>Contractor MFA evidence</t>
        </is>
      </c>
      <c r="C4" s="20" t="inlineStr">
        <is>
          <t>Severity</t>
        </is>
      </c>
      <c r="D4" s="21" t="inlineStr">
        <is>
          <t>High</t>
        </is>
      </c>
    </row>
    <row r="5">
      <c r="A5" s="20" t="inlineStr">
        <is>
          <t>60-90 Day Sprint</t>
        </is>
      </c>
      <c r="B5" s="31" t="inlineStr">
        <is>
          <t>Close access, IR, vulnerability, backup, and evidence ownership gaps.</t>
        </is>
      </c>
      <c r="C5" s="20" t="inlineStr">
        <is>
          <t>Owner</t>
        </is>
      </c>
      <c r="D5" s="21" t="inlineStr">
        <is>
          <t>CISO / GRC</t>
        </is>
      </c>
    </row>
    <row r="6">
      <c r="A6" s="20" t="inlineStr">
        <is>
          <t>Report Type</t>
        </is>
      </c>
      <c r="B6" s="31" t="inlineStr">
        <is>
          <t>Type I first. The Type II observation window starts only after the readiness retest passes.</t>
        </is>
      </c>
      <c r="C6" s="20" t="inlineStr">
        <is>
          <t>Decision Owner</t>
        </is>
      </c>
      <c r="D6" s="21" t="inlineStr">
        <is>
          <t>CISO</t>
        </is>
      </c>
    </row>
    <row r="7">
      <c r="A7" s="20" t="inlineStr">
        <is>
          <t>Next Step</t>
        </is>
      </c>
      <c r="B7" s="31" t="inlineStr">
        <is>
          <t>Complete remediation tracker and conduct internal readiness retest.</t>
        </is>
      </c>
      <c r="C7" s="20" t="inlineStr">
        <is>
          <t>Target</t>
        </is>
      </c>
      <c r="D7" s="42" t="n">
        <v>46351</v>
      </c>
    </row>
    <row r="8">
      <c r="A8" s="20" t="inlineStr">
        <is>
          <t>Customer Value</t>
        </is>
      </c>
      <c r="B8" s="31" t="inlineStr">
        <is>
          <t>Improves security questionnaire responses and future audit readiness.</t>
        </is>
      </c>
      <c r="C8" s="20" t="inlineStr">
        <is>
          <t>Customer Commitment</t>
        </is>
      </c>
      <c r="D8" s="21" t="inlineStr">
        <is>
          <t>No audit date promised to customers until the retest passes</t>
        </is>
      </c>
    </row>
    <row r="9">
      <c r="A9" s="20" t="inlineStr">
        <is>
          <t>Audit Risk</t>
        </is>
      </c>
      <c r="B9" s="31" t="inlineStr">
        <is>
          <t>Missing or incomplete evidence may delay audit or create exceptions.</t>
        </is>
      </c>
      <c r="C9" s="20" t="inlineStr">
        <is>
          <t>Decision</t>
        </is>
      </c>
      <c r="D9" s="21" t="inlineStr">
        <is>
          <t>Readiness sprint required</t>
        </is>
      </c>
    </row>
    <row r="10">
      <c r="A10" s="22" t="inlineStr">
        <is>
          <t>Assessment Date</t>
        </is>
      </c>
      <c r="B10" s="41" t="n">
        <v>46276</v>
      </c>
      <c r="C10" s="22" t="inlineStr">
        <is>
          <t>Primary Criteria</t>
        </is>
      </c>
      <c r="D10" s="23" t="inlineStr">
        <is>
          <t>AICPA Trust Services Criteria</t>
        </is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Program outcomes and governance alignment</t>
        </is>
      </c>
    </row>
    <row r="3">
      <c r="A3" s="31" t="inlineStr">
        <is>
          <t>NIST SP 800-53 Rev. 5 Release 5.2.0</t>
        </is>
      </c>
      <c r="B3" s="31" t="inlineStr">
        <is>
          <t>https://csrc.nist.gov/News/2025/nist-releases-revision-to-sp-800-53-controls</t>
        </is>
      </c>
      <c r="C3" s="31" t="inlineStr">
        <is>
          <t>Control catalog reference</t>
        </is>
      </c>
    </row>
    <row r="4">
      <c r="A4" s="31" t="inlineStr">
        <is>
          <t>NIST SP 800-53A Rev. 5</t>
        </is>
      </c>
      <c r="B4" s="31" t="inlineStr">
        <is>
          <t>https://csrc.nist.gov/pubs/sp/800/53/a/r5/final</t>
        </is>
      </c>
      <c r="C4" s="31" t="inlineStr">
        <is>
          <t>Control assessment and test procedure reference</t>
        </is>
      </c>
    </row>
    <row r="5">
      <c r="A5" s="31" t="inlineStr">
        <is>
          <t>CIS Controls v8.1</t>
        </is>
      </c>
      <c r="B5" s="31" t="inlineStr">
        <is>
          <t>https://www.cisecurity.org/controls/v8-1</t>
        </is>
      </c>
      <c r="C5" s="31" t="inlineStr">
        <is>
          <t>Practical safeguard mapping</t>
        </is>
      </c>
    </row>
    <row r="6">
      <c r="A6" s="31" t="inlineStr">
        <is>
          <t>ISO/IEC 27001:2022/Amd 1:2024</t>
        </is>
      </c>
      <c r="B6" s="31" t="inlineStr">
        <is>
          <t>https://www.iso.org/standard/88435.html</t>
        </is>
      </c>
      <c r="C6" s="31" t="inlineStr">
        <is>
          <t>ISMS requirements</t>
        </is>
      </c>
    </row>
    <row r="7">
      <c r="A7" s="31" t="inlineStr">
        <is>
          <t>ISO/IEC 27002:2022</t>
        </is>
      </c>
      <c r="B7" s="31" t="inlineStr">
        <is>
          <t>https://www.iso.org/standard/75652.html</t>
        </is>
      </c>
      <c r="C7" s="31" t="inlineStr">
        <is>
          <t>Security control guidance</t>
        </is>
      </c>
    </row>
    <row r="8">
      <c r="A8" s="31" t="inlineStr">
        <is>
          <t>ISO/IEC 27017:2026</t>
        </is>
      </c>
      <c r="B8" s="31" t="inlineStr">
        <is>
          <t>https://www.iso.org/standard/43757.html</t>
        </is>
      </c>
      <c r="C8" s="31" t="inlineStr">
        <is>
          <t>Cloud-service control guidance</t>
        </is>
      </c>
    </row>
    <row r="9">
      <c r="A9" s="31" t="inlineStr">
        <is>
          <t>AICPA Trust Services Criteria with revised points of focus 2022</t>
        </is>
      </c>
      <c r="B9" s="31" t="inlineStr">
        <is>
          <t>https://www.aicpa-cima.com/resources/download/2017-trust-services-criteria-with-revised-points-of-focus-2022</t>
        </is>
      </c>
      <c r="C9" s="31" t="inlineStr">
        <is>
          <t>SOC 2 readiness criteria</t>
        </is>
      </c>
    </row>
    <row r="10">
      <c r="A10" s="31" t="inlineStr">
        <is>
          <t>NIST SP 800-61 Rev. 3</t>
        </is>
      </c>
      <c r="B10" s="31" t="inlineStr">
        <is>
          <t>https://csrc.nist.gov/pubs/sp/800/61/r3/final</t>
        </is>
      </c>
      <c r="C10" s="31" t="inlineStr">
        <is>
          <t>Incident-response control guidance</t>
        </is>
      </c>
    </row>
    <row r="11">
      <c r="A11" s="32" t="inlineStr">
        <is>
          <t>NIST SP 800-161 Rev. 1 Update 1</t>
        </is>
      </c>
      <c r="B11" s="32" t="inlineStr">
        <is>
          <t>https://csrc.nist.gov/pubs/sp/800/161/r1/upd1/final</t>
        </is>
      </c>
      <c r="C11" s="32" t="inlineStr">
        <is>
          <t>Supply-chain controls</t>
        </is>
      </c>
    </row>
    <row r="12" ht="36" customHeight="1">
      <c r="A12" s="32" t="inlineStr">
        <is>
          <t>Scenario dates and rating definitions</t>
        </is>
      </c>
      <c r="B12" s="32" t="inlineStr">
        <is>
          <t>Fictional assessment assumptions; see shared company profile</t>
        </is>
      </c>
      <c r="C12" s="32" t="inlineStr">
        <is>
          <t>../../00-company-profile/Pinecastle-Company-and-GRC-Scope.md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dc:creator xmlns:dc="http://purl.org/dc/elements/1.1/">Chris Morrissey</dc:creator>
  <dcterms:created xsi:type="dcterms:W3CDTF">2026-08-31T14:20:00Z</dcterms:created>
  <dcterms:modified xsi:type="dcterms:W3CDTF">2026-09-11T20:48:00Z</dcterms:modified>
  <cp:lastModifiedBy>Chris Morrissey</cp:lastModifiedBy>
</cp:coreProperties>
</file>