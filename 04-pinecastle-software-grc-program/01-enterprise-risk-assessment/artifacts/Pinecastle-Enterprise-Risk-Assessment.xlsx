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Treatment Plan" sheetId="4" state="visible" r:id="rId4"/>
    <sheet xmlns:r="http://schemas.openxmlformats.org/officeDocument/2006/relationships" name="References" sheetId="5" state="visible" r:id="rId5"/>
  </sheets>
  <definedNames>
    <definedName name="_xlnm.Print_Area" localSheetId="0">'Dashboard'!$A$1:$H$16</definedName>
    <definedName name="_xlnm.Print_Area" localSheetId="1">'Methodology'!$A$1:$G$15</definedName>
    <definedName name="_xlnm.Print_Titles" localSheetId="2">'Risk Register'!$4:$4</definedName>
    <definedName name="_xlnm.Print_Area" localSheetId="2">'Risk Register'!$A$1:$Y$21</definedName>
    <definedName name="_xlnm.Print_Area" localSheetId="3">'Treatment Plan'!$A$1:$H$21</definedName>
    <definedName name="_xlnm.Print_Area" localSheetId="4">'References'!$A$1:$C$19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6">
    <border/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E5E7EB"/>
      </bottom>
    </border>
    <border>
      <right style="thin">
        <color rgb="FFD1D5DB"/>
      </right>
      <top style="thin">
        <color rgb="FFD1D5D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E5E7EB"/>
      </bottom>
    </border>
    <border>
      <right style="thin">
        <color rgb="FFD1D5D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D1D5DB"/>
      </bottom>
    </border>
    <border>
      <right style="thin">
        <color rgb="FFD1D5DB"/>
      </right>
      <top style="thin">
        <color rgb="FFE5E7E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</cellXfs>
  <cellStyles count="1">
    <cellStyle name="Normal" xfId="0"/>
  </cellStyles>
  <dxfs count="28"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6" customWidth="1" min="4" max="4"/>
    <col width="18" customWidth="1" min="5" max="5"/>
    <col width="18" customWidth="1" min="6" max="6"/>
    <col width="22" customWidth="1" min="7" max="7"/>
    <col width="14" customWidth="1" min="8" max="8"/>
  </cols>
  <sheetData>
    <row r="1">
      <c r="A1" s="5" t="inlineStr">
        <is>
          <t>Pinecastle - Cyber Risk Assessment</t>
        </is>
      </c>
    </row>
    <row r="2"/>
    <row r="3">
      <c r="A3" s="19" t="inlineStr">
        <is>
          <t>Total Risks</t>
        </is>
      </c>
      <c r="B3" s="20">
        <f>COUNTA('Risk Register'!A2:A23)</f>
        <v/>
      </c>
      <c r="D3" s="27" t="inlineStr">
        <is>
          <t>Residual Rating</t>
        </is>
      </c>
      <c r="E3" s="28" t="inlineStr">
        <is>
          <t>Count</t>
        </is>
      </c>
      <c r="F3" s="28" t="inlineStr">
        <is>
          <t>Management Meaning</t>
        </is>
      </c>
      <c r="G3" s="28" t="inlineStr">
        <is>
          <t>Primary Action</t>
        </is>
      </c>
      <c r="H3" s="29" t="inlineStr">
        <is>
          <t>Escalation</t>
        </is>
      </c>
    </row>
    <row r="4">
      <c r="A4" s="21" t="inlineStr">
        <is>
          <t>Critical Residual Risks</t>
        </is>
      </c>
      <c r="B4" s="22">
        <f>COUNTIF('Risk Register'!P2:P23,"Critical")</f>
        <v/>
      </c>
      <c r="D4" s="30" t="inlineStr">
        <is>
          <t>Critical</t>
        </is>
      </c>
      <c r="E4" s="30">
        <f>COUNTIF('Risk Register'!P2:P23,"Critical")</f>
        <v/>
      </c>
      <c r="F4" s="30" t="inlineStr">
        <is>
          <t>Immediate leadership decision</t>
        </is>
      </c>
      <c r="G4" s="30" t="inlineStr">
        <is>
          <t>Escalate and fund</t>
        </is>
      </c>
      <c r="H4" s="30" t="inlineStr">
        <is>
          <t>Executive</t>
        </is>
      </c>
    </row>
    <row r="5">
      <c r="A5" s="21" t="inlineStr">
        <is>
          <t>High Residual Risks</t>
        </is>
      </c>
      <c r="B5" s="22">
        <f>COUNTIF('Risk Register'!P2:P23,"High")</f>
        <v/>
      </c>
      <c r="D5" s="31" t="inlineStr">
        <is>
          <t>High</t>
        </is>
      </c>
      <c r="E5" s="31">
        <f>COUNTIF('Risk Register'!P2:P23,"High")</f>
        <v/>
      </c>
      <c r="F5" s="31" t="inlineStr">
        <is>
          <t>Prioritized remediation</t>
        </is>
      </c>
      <c r="G5" s="31" t="inlineStr">
        <is>
          <t>Track to due date</t>
        </is>
      </c>
      <c r="H5" s="31" t="inlineStr">
        <is>
          <t>CISO / owner</t>
        </is>
      </c>
    </row>
    <row r="6">
      <c r="A6" s="21" t="inlineStr">
        <is>
          <t>Open / Planned Actions</t>
        </is>
      </c>
      <c r="B6" s="22">
        <f>COUNTIF('Risk Register'!U2:U23,"&lt;&gt;Complete")</f>
        <v/>
      </c>
      <c r="D6" s="31" t="inlineStr">
        <is>
          <t>Medium</t>
        </is>
      </c>
      <c r="E6" s="31">
        <f>COUNTIF('Risk Register'!P2:P23,"Medium")</f>
        <v/>
      </c>
      <c r="F6" s="31" t="inlineStr">
        <is>
          <t>Managed through plan</t>
        </is>
      </c>
      <c r="G6" s="31" t="inlineStr">
        <is>
          <t>Monitor</t>
        </is>
      </c>
      <c r="H6" s="31" t="inlineStr">
        <is>
          <t>Control owner</t>
        </is>
      </c>
    </row>
    <row r="7">
      <c r="A7" s="21" t="inlineStr">
        <is>
          <t>Top Residual Score</t>
        </is>
      </c>
      <c r="B7" s="22">
        <f>MAX('Risk Register'!O2:O23)</f>
        <v/>
      </c>
      <c r="D7" s="32" t="inlineStr">
        <is>
          <t>Low</t>
        </is>
      </c>
      <c r="E7" s="32">
        <f>COUNTIF('Risk Register'!P2:P23,"Low")</f>
        <v/>
      </c>
      <c r="F7" s="32" t="inlineStr">
        <is>
          <t>Routine monitoring</t>
        </is>
      </c>
      <c r="G7" s="32" t="inlineStr">
        <is>
          <t>Maintain</t>
        </is>
      </c>
      <c r="H7" s="32" t="inlineStr">
        <is>
          <t>Operational</t>
        </is>
      </c>
    </row>
    <row r="8">
      <c r="A8" s="23" t="inlineStr">
        <is>
          <t>Assessment Date</t>
        </is>
      </c>
      <c r="B8" s="36" t="n">
        <v>46247</v>
      </c>
    </row>
    <row r="9"/>
    <row r="10"/>
    <row r="11">
      <c r="A11" s="27" t="inlineStr">
        <is>
          <t>Top Residual Risks</t>
        </is>
      </c>
      <c r="B11" s="28" t="inlineStr">
        <is>
          <t>Business Process</t>
        </is>
      </c>
      <c r="C11" s="28" t="inlineStr">
        <is>
          <t>Asset</t>
        </is>
      </c>
      <c r="D11" s="28" t="inlineStr">
        <is>
          <t>Residual Score</t>
        </is>
      </c>
      <c r="E11" s="28" t="inlineStr">
        <is>
          <t>Residual Rating</t>
        </is>
      </c>
      <c r="F11" s="28" t="inlineStr">
        <is>
          <t>Treatment</t>
        </is>
      </c>
      <c r="G11" s="28" t="inlineStr">
        <is>
          <t>Owner</t>
        </is>
      </c>
      <c r="H11" s="29" t="inlineStr">
        <is>
          <t>Due Date</t>
        </is>
      </c>
    </row>
    <row r="12">
      <c r="A12" s="30">
        <f>INDEX('Risk Register'!$A$2:$A$23,MATCH(ROWS($A$12:A12),'Risk Register'!$Y$2:$Y$23,0))</f>
        <v/>
      </c>
      <c r="B12" s="30">
        <f>INDEX('Risk Register'!$B$2:$B$23,MATCH(ROWS($A$12:A12),'Risk Register'!$Y$2:$Y$23,0))</f>
        <v/>
      </c>
      <c r="C12" s="30">
        <f>INDEX('Risk Register'!$C$2:$C$23,MATCH(ROWS($A$12:A12),'Risk Register'!$Y$2:$Y$23,0))</f>
        <v/>
      </c>
      <c r="D12" s="30">
        <f>INDEX('Risk Register'!$O$2:$O$23,MATCH(ROWS($A$12:A12),'Risk Register'!$Y$2:$Y$23,0))</f>
        <v/>
      </c>
      <c r="E12" s="30">
        <f>INDEX('Risk Register'!$P$2:$P$23,MATCH(ROWS($A$12:A12),'Risk Register'!$Y$2:$Y$23,0))</f>
        <v/>
      </c>
      <c r="F12" s="30">
        <f>INDEX('Risk Register'!$Q$2:$Q$23,MATCH(ROWS($A$12:A12),'Risk Register'!$Y$2:$Y$23,0))</f>
        <v/>
      </c>
      <c r="G12" s="30">
        <f>INDEX('Risk Register'!$S$2:$S$23,MATCH(ROWS($A$12:A12),'Risk Register'!$Y$2:$Y$23,0))</f>
        <v/>
      </c>
      <c r="H12" s="37">
        <f>INDEX('Risk Register'!$T$2:$T$23,MATCH(ROWS($A$12:A12),'Risk Register'!$Y$2:$Y$23,0))</f>
        <v/>
      </c>
    </row>
    <row r="13">
      <c r="A13" s="31">
        <f>INDEX('Risk Register'!$A$2:$A$23,MATCH(ROWS($A$12:A13),'Risk Register'!$Y$2:$Y$23,0))</f>
        <v/>
      </c>
      <c r="B13" s="31">
        <f>INDEX('Risk Register'!$B$2:$B$23,MATCH(ROWS($A$12:A13),'Risk Register'!$Y$2:$Y$23,0))</f>
        <v/>
      </c>
      <c r="C13" s="31">
        <f>INDEX('Risk Register'!$C$2:$C$23,MATCH(ROWS($A$12:A13),'Risk Register'!$Y$2:$Y$23,0))</f>
        <v/>
      </c>
      <c r="D13" s="31">
        <f>INDEX('Risk Register'!$O$2:$O$23,MATCH(ROWS($A$12:A13),'Risk Register'!$Y$2:$Y$23,0))</f>
        <v/>
      </c>
      <c r="E13" s="31">
        <f>INDEX('Risk Register'!$P$2:$P$23,MATCH(ROWS($A$12:A13),'Risk Register'!$Y$2:$Y$23,0))</f>
        <v/>
      </c>
      <c r="F13" s="31">
        <f>INDEX('Risk Register'!$Q$2:$Q$23,MATCH(ROWS($A$12:A13),'Risk Register'!$Y$2:$Y$23,0))</f>
        <v/>
      </c>
      <c r="G13" s="31">
        <f>INDEX('Risk Register'!$S$2:$S$23,MATCH(ROWS($A$12:A13),'Risk Register'!$Y$2:$Y$23,0))</f>
        <v/>
      </c>
      <c r="H13" s="38">
        <f>INDEX('Risk Register'!$T$2:$T$23,MATCH(ROWS($A$12:A13),'Risk Register'!$Y$2:$Y$23,0))</f>
        <v/>
      </c>
    </row>
    <row r="14">
      <c r="A14" s="31">
        <f>INDEX('Risk Register'!$A$2:$A$23,MATCH(ROWS($A$12:A14),'Risk Register'!$Y$2:$Y$23,0))</f>
        <v/>
      </c>
      <c r="B14" s="31">
        <f>INDEX('Risk Register'!$B$2:$B$23,MATCH(ROWS($A$12:A14),'Risk Register'!$Y$2:$Y$23,0))</f>
        <v/>
      </c>
      <c r="C14" s="31">
        <f>INDEX('Risk Register'!$C$2:$C$23,MATCH(ROWS($A$12:A14),'Risk Register'!$Y$2:$Y$23,0))</f>
        <v/>
      </c>
      <c r="D14" s="31">
        <f>INDEX('Risk Register'!$O$2:$O$23,MATCH(ROWS($A$12:A14),'Risk Register'!$Y$2:$Y$23,0))</f>
        <v/>
      </c>
      <c r="E14" s="31">
        <f>INDEX('Risk Register'!$P$2:$P$23,MATCH(ROWS($A$12:A14),'Risk Register'!$Y$2:$Y$23,0))</f>
        <v/>
      </c>
      <c r="F14" s="31">
        <f>INDEX('Risk Register'!$Q$2:$Q$23,MATCH(ROWS($A$12:A14),'Risk Register'!$Y$2:$Y$23,0))</f>
        <v/>
      </c>
      <c r="G14" s="31">
        <f>INDEX('Risk Register'!$S$2:$S$23,MATCH(ROWS($A$12:A14),'Risk Register'!$Y$2:$Y$23,0))</f>
        <v/>
      </c>
      <c r="H14" s="38">
        <f>INDEX('Risk Register'!$T$2:$T$23,MATCH(ROWS($A$12:A14),'Risk Register'!$Y$2:$Y$23,0))</f>
        <v/>
      </c>
    </row>
    <row r="15">
      <c r="A15" s="31">
        <f>INDEX('Risk Register'!$A$2:$A$23,MATCH(ROWS($A$12:A15),'Risk Register'!$Y$2:$Y$23,0))</f>
        <v/>
      </c>
      <c r="B15" s="31">
        <f>INDEX('Risk Register'!$B$2:$B$23,MATCH(ROWS($A$12:A15),'Risk Register'!$Y$2:$Y$23,0))</f>
        <v/>
      </c>
      <c r="C15" s="31">
        <f>INDEX('Risk Register'!$C$2:$C$23,MATCH(ROWS($A$12:A15),'Risk Register'!$Y$2:$Y$23,0))</f>
        <v/>
      </c>
      <c r="D15" s="31">
        <f>INDEX('Risk Register'!$O$2:$O$23,MATCH(ROWS($A$12:A15),'Risk Register'!$Y$2:$Y$23,0))</f>
        <v/>
      </c>
      <c r="E15" s="31">
        <f>INDEX('Risk Register'!$P$2:$P$23,MATCH(ROWS($A$12:A15),'Risk Register'!$Y$2:$Y$23,0))</f>
        <v/>
      </c>
      <c r="F15" s="31">
        <f>INDEX('Risk Register'!$Q$2:$Q$23,MATCH(ROWS($A$12:A15),'Risk Register'!$Y$2:$Y$23,0))</f>
        <v/>
      </c>
      <c r="G15" s="31">
        <f>INDEX('Risk Register'!$S$2:$S$23,MATCH(ROWS($A$12:A15),'Risk Register'!$Y$2:$Y$23,0))</f>
        <v/>
      </c>
      <c r="H15" s="38">
        <f>INDEX('Risk Register'!$T$2:$T$23,MATCH(ROWS($A$12:A15),'Risk Register'!$Y$2:$Y$23,0))</f>
        <v/>
      </c>
    </row>
    <row r="16">
      <c r="A16" s="32">
        <f>INDEX('Risk Register'!$A$2:$A$23,MATCH(ROWS($A$12:A16),'Risk Register'!$Y$2:$Y$23,0))</f>
        <v/>
      </c>
      <c r="B16" s="32">
        <f>INDEX('Risk Register'!$B$2:$B$23,MATCH(ROWS($A$12:A16),'Risk Register'!$Y$2:$Y$23,0))</f>
        <v/>
      </c>
      <c r="C16" s="32">
        <f>INDEX('Risk Register'!$C$2:$C$23,MATCH(ROWS($A$12:A16),'Risk Register'!$Y$2:$Y$23,0))</f>
        <v/>
      </c>
      <c r="D16" s="32">
        <f>INDEX('Risk Register'!$O$2:$O$23,MATCH(ROWS($A$12:A16),'Risk Register'!$Y$2:$Y$23,0))</f>
        <v/>
      </c>
      <c r="E16" s="32">
        <f>INDEX('Risk Register'!$P$2:$P$23,MATCH(ROWS($A$12:A16),'Risk Register'!$Y$2:$Y$23,0))</f>
        <v/>
      </c>
      <c r="F16" s="32">
        <f>INDEX('Risk Register'!$Q$2:$Q$23,MATCH(ROWS($A$12:A16),'Risk Register'!$Y$2:$Y$23,0))</f>
        <v/>
      </c>
      <c r="G16" s="32">
        <f>INDEX('Risk Register'!$S$2:$S$23,MATCH(ROWS($A$12:A16),'Risk Register'!$Y$2:$Y$23,0))</f>
        <v/>
      </c>
      <c r="H16" s="39">
        <f>INDEX('Risk Register'!$T$2:$T$23,MATCH(ROWS($A$12:A16),'Risk Register'!$Y$2:$Y$23,0))</f>
        <v/>
      </c>
    </row>
  </sheetData>
  <mergeCells count="1">
    <mergeCell ref="A1:H1"/>
  </mergeCells>
  <conditionalFormatting sqref="D4:D7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E12:E16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4" customWidth="1" min="4" max="4"/>
    <col width="16" customWidth="1" min="5" max="5"/>
    <col width="18" customWidth="1" min="6" max="6"/>
    <col width="52" customWidth="1" min="7" max="7"/>
  </cols>
  <sheetData>
    <row r="1">
      <c r="A1" s="5" t="inlineStr">
        <is>
          <t>Risk Scoring Methodology</t>
        </is>
      </c>
    </row>
    <row r="2"/>
    <row r="3">
      <c r="A3" s="27" t="inlineStr">
        <is>
          <t>Likelihood</t>
        </is>
      </c>
      <c r="B3" s="28" t="inlineStr">
        <is>
          <t>Label</t>
        </is>
      </c>
      <c r="C3" s="29" t="inlineStr">
        <is>
          <t>Definition</t>
        </is>
      </c>
      <c r="E3" s="27" t="inlineStr">
        <is>
          <t>Impact</t>
        </is>
      </c>
      <c r="F3" s="28" t="inlineStr">
        <is>
          <t>Label</t>
        </is>
      </c>
      <c r="G3" s="29" t="inlineStr">
        <is>
          <t>Definition</t>
        </is>
      </c>
    </row>
    <row r="4">
      <c r="A4" s="30" t="n">
        <v>1</v>
      </c>
      <c r="B4" s="30" t="inlineStr">
        <is>
          <t>Rare</t>
        </is>
      </c>
      <c r="C4" s="30" t="inlineStr">
        <is>
          <t>Not expected, but possible under unusual circumstances</t>
        </is>
      </c>
      <c r="E4" s="30" t="n">
        <v>1</v>
      </c>
      <c r="F4" s="30" t="inlineStr">
        <is>
          <t>Minimal</t>
        </is>
      </c>
      <c r="G4" s="30" t="inlineStr">
        <is>
          <t>Limited internal inconvenience</t>
        </is>
      </c>
    </row>
    <row r="5">
      <c r="A5" s="31" t="n">
        <v>2</v>
      </c>
      <c r="B5" s="31" t="inlineStr">
        <is>
          <t>Unlikely</t>
        </is>
      </c>
      <c r="C5" s="31" t="inlineStr">
        <is>
          <t>Could occur, but not expected annually</t>
        </is>
      </c>
      <c r="E5" s="31" t="n">
        <v>2</v>
      </c>
      <c r="F5" s="31" t="inlineStr">
        <is>
          <t>Minor</t>
        </is>
      </c>
      <c r="G5" s="31" t="inlineStr">
        <is>
          <t>Some operational disruption or limited data exposure</t>
        </is>
      </c>
    </row>
    <row r="6">
      <c r="A6" s="31" t="n">
        <v>3</v>
      </c>
      <c r="B6" s="31" t="inlineStr">
        <is>
          <t>Possible</t>
        </is>
      </c>
      <c r="C6" s="31" t="inlineStr">
        <is>
          <t>Could occur within the next year</t>
        </is>
      </c>
      <c r="E6" s="31" t="n">
        <v>3</v>
      </c>
      <c r="F6" s="31" t="inlineStr">
        <is>
          <t>Moderate</t>
        </is>
      </c>
      <c r="G6" s="31" t="inlineStr">
        <is>
          <t>Material process disruption, customer impact, or audit finding</t>
        </is>
      </c>
    </row>
    <row r="7">
      <c r="A7" s="31" t="n">
        <v>4</v>
      </c>
      <c r="B7" s="31" t="inlineStr">
        <is>
          <t>Likely</t>
        </is>
      </c>
      <c r="C7" s="31" t="inlineStr">
        <is>
          <t>Expected or observed in comparable SaaS environments</t>
        </is>
      </c>
      <c r="E7" s="31" t="n">
        <v>4</v>
      </c>
      <c r="F7" s="31" t="inlineStr">
        <is>
          <t>Major</t>
        </is>
      </c>
      <c r="G7" s="31" t="inlineStr">
        <is>
          <t>Significant customer, legal, financial, or operational impact</t>
        </is>
      </c>
    </row>
    <row r="8">
      <c r="A8" s="32" t="n">
        <v>5</v>
      </c>
      <c r="B8" s="32" t="inlineStr">
        <is>
          <t>Almost Certain</t>
        </is>
      </c>
      <c r="C8" s="32" t="inlineStr">
        <is>
          <t>Expected repeatedly or already occurring</t>
        </is>
      </c>
      <c r="E8" s="32" t="n">
        <v>5</v>
      </c>
      <c r="F8" s="32" t="inlineStr">
        <is>
          <t>Severe</t>
        </is>
      </c>
      <c r="G8" s="32" t="inlineStr">
        <is>
          <t>Major breach, prolonged outage, regulatory exposure, or board-level impact</t>
        </is>
      </c>
    </row>
    <row r="9"/>
    <row r="10"/>
    <row r="11">
      <c r="A11" s="27" t="inlineStr">
        <is>
          <t>Score Range</t>
        </is>
      </c>
      <c r="B11" s="28" t="inlineStr">
        <is>
          <t>Rating</t>
        </is>
      </c>
      <c r="C11" s="29" t="inlineStr">
        <is>
          <t>Management Meaning</t>
        </is>
      </c>
    </row>
    <row r="12">
      <c r="A12" s="30" t="inlineStr">
        <is>
          <t>1-4</t>
        </is>
      </c>
      <c r="B12" s="30" t="inlineStr">
        <is>
          <t>Low</t>
        </is>
      </c>
      <c r="C12" s="30" t="inlineStr">
        <is>
          <t>Monitor through normal operations</t>
        </is>
      </c>
    </row>
    <row r="13">
      <c r="A13" s="31" t="inlineStr">
        <is>
          <t>5-9</t>
        </is>
      </c>
      <c r="B13" s="31" t="inlineStr">
        <is>
          <t>Medium</t>
        </is>
      </c>
      <c r="C13" s="31" t="inlineStr">
        <is>
          <t>Track with named owner</t>
        </is>
      </c>
    </row>
    <row r="14">
      <c r="A14" s="31" t="inlineStr">
        <is>
          <t>10-16</t>
        </is>
      </c>
      <c r="B14" s="31" t="inlineStr">
        <is>
          <t>High</t>
        </is>
      </c>
      <c r="C14" s="31" t="inlineStr">
        <is>
          <t>Prioritize remediation and report to leadership</t>
        </is>
      </c>
    </row>
    <row r="15">
      <c r="A15" s="32" t="inlineStr">
        <is>
          <t>17-25</t>
        </is>
      </c>
      <c r="B15" s="32" t="inlineStr">
        <is>
          <t>Critical</t>
        </is>
      </c>
      <c r="C15" s="32" t="inlineStr">
        <is>
          <t>Immediate leadership decision required</t>
        </is>
      </c>
    </row>
  </sheetData>
  <mergeCells count="1">
    <mergeCell ref="A1:F1"/>
  </mergeCells>
  <conditionalFormatting sqref="B12:B15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0" customWidth="1" min="4" max="4"/>
    <col width="34" customWidth="1" min="5" max="5"/>
    <col width="54" customWidth="1" min="6" max="6"/>
    <col width="14" customWidth="1" min="7" max="7"/>
    <col width="14" customWidth="1" min="8" max="8"/>
    <col width="14" customWidth="1" min="9" max="9"/>
    <col width="16" customWidth="1" min="10" max="10"/>
    <col width="30" customWidth="1" min="11" max="11"/>
    <col width="20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  <col width="52" customWidth="1" min="18" max="18"/>
    <col width="24" customWidth="1" min="19" max="19"/>
    <col width="14" customWidth="1" min="20" max="20"/>
    <col width="16" customWidth="1" min="21" max="21"/>
    <col width="22" customWidth="1" min="22" max="22"/>
    <col width="18" customWidth="1" min="23" max="23"/>
    <col width="20" customWidth="1" min="24" max="24"/>
    <col width="14" customWidth="1" min="25" max="25"/>
  </cols>
  <sheetData>
    <row r="1">
      <c r="A1" s="27" t="inlineStr">
        <is>
          <t>Risk ID</t>
        </is>
      </c>
      <c r="B1" s="28" t="inlineStr">
        <is>
          <t>Business Process</t>
        </is>
      </c>
      <c r="C1" s="28" t="inlineStr">
        <is>
          <t>Asset</t>
        </is>
      </c>
      <c r="D1" s="28" t="inlineStr">
        <is>
          <t>Threat</t>
        </is>
      </c>
      <c r="E1" s="28" t="inlineStr">
        <is>
          <t>Vulnerability</t>
        </is>
      </c>
      <c r="F1" s="28" t="inlineStr">
        <is>
          <t>Risk Statement</t>
        </is>
      </c>
      <c r="G1" s="28" t="inlineStr">
        <is>
          <t>Inherent Likelihood</t>
        </is>
      </c>
      <c r="H1" s="28" t="inlineStr">
        <is>
          <t>Inherent Impact</t>
        </is>
      </c>
      <c r="I1" s="28" t="inlineStr">
        <is>
          <t>Inherent Score</t>
        </is>
      </c>
      <c r="J1" s="28" t="inlineStr">
        <is>
          <t>Inherent Rating</t>
        </is>
      </c>
      <c r="K1" s="28" t="inlineStr">
        <is>
          <t>Existing Controls</t>
        </is>
      </c>
      <c r="L1" s="28" t="inlineStr">
        <is>
          <t>Control Effectiveness</t>
        </is>
      </c>
      <c r="M1" s="28" t="inlineStr">
        <is>
          <t>Residual Likelihood</t>
        </is>
      </c>
      <c r="N1" s="28" t="inlineStr">
        <is>
          <t>Residual Impact</t>
        </is>
      </c>
      <c r="O1" s="28" t="inlineStr">
        <is>
          <t>Residual Score</t>
        </is>
      </c>
      <c r="P1" s="28" t="inlineStr">
        <is>
          <t>Residual Rating</t>
        </is>
      </c>
      <c r="Q1" s="28" t="inlineStr">
        <is>
          <t>Treatment</t>
        </is>
      </c>
      <c r="R1" s="28" t="inlineStr">
        <is>
          <t>Action Plan</t>
        </is>
      </c>
      <c r="S1" s="28" t="inlineStr">
        <is>
          <t>Risk Owner</t>
        </is>
      </c>
      <c r="T1" s="28" t="inlineStr">
        <is>
          <t>Due Date</t>
        </is>
      </c>
      <c r="U1" s="28" t="inlineStr">
        <is>
          <t>Status</t>
        </is>
      </c>
      <c r="V1" s="28" t="inlineStr">
        <is>
          <t>CSF Function</t>
        </is>
      </c>
      <c r="W1" s="28" t="inlineStr">
        <is>
          <t>NIST 800-53 Ref</t>
        </is>
      </c>
      <c r="X1" s="29" t="inlineStr">
        <is>
          <t>CIS / Other Ref</t>
        </is>
      </c>
      <c r="Y1" s="28" t="inlineStr">
        <is>
          <t>Display Rank</t>
        </is>
      </c>
    </row>
    <row r="2">
      <c r="A2" s="30" t="inlineStr">
        <is>
          <t>R-001</t>
        </is>
      </c>
      <c r="B2" s="30" t="inlineStr">
        <is>
          <t>Identity and Access Management</t>
        </is>
      </c>
      <c r="C2" s="30" t="inlineStr">
        <is>
          <t>Okta / Microsoft 365 / AWS Admin</t>
        </is>
      </c>
      <c r="D2" s="30" t="inlineStr">
        <is>
          <t>Credential theft</t>
        </is>
      </c>
      <c r="E2" s="30" t="inlineStr">
        <is>
          <t>Privileged MFA not consistently phishing-resistant</t>
        </is>
      </c>
      <c r="F2" s="30" t="inlineStr">
        <is>
          <t>Unauthorized privileged access may occur because administrator authentication is not consistently hardened, leading to customer data exposure or service disruption.</t>
        </is>
      </c>
      <c r="G2" s="30" t="n">
        <v>5</v>
      </c>
      <c r="H2" s="30" t="n">
        <v>5</v>
      </c>
      <c r="I2" s="30">
        <f>G2*H2</f>
        <v/>
      </c>
      <c r="J2" s="30">
        <f>IF(I2&gt;=17,"Critical",IF(I2&gt;=10,"High",IF(I2&gt;=5,"Medium","Low")))</f>
        <v/>
      </c>
      <c r="K2" s="30" t="inlineStr">
        <is>
          <t>MFA, SSO, audit logs</t>
        </is>
      </c>
      <c r="L2" s="30" t="inlineStr">
        <is>
          <t>Partially Effective</t>
        </is>
      </c>
      <c r="M2" s="30" t="n">
        <v>3</v>
      </c>
      <c r="N2" s="30" t="n">
        <v>5</v>
      </c>
      <c r="O2" s="30">
        <f>M2*N2</f>
        <v/>
      </c>
      <c r="P2" s="30">
        <f>IF(O2&gt;=17,"Critical",IF(O2&gt;=10,"High",IF(O2&gt;=5,"Medium","Low")))</f>
        <v/>
      </c>
      <c r="Q2" s="30" t="inlineStr">
        <is>
          <t>Mitigate</t>
        </is>
      </c>
      <c r="R2" s="30" t="inlineStr">
        <is>
          <t>Enforce phishing-resistant MFA for privileged accounts; complete quarterly privileged access review; remove stale admin accounts.</t>
        </is>
      </c>
      <c r="S2" s="30" t="inlineStr">
        <is>
          <t>VP of IT</t>
        </is>
      </c>
      <c r="T2" s="37" t="n">
        <v>46315</v>
      </c>
      <c r="U2" s="30" t="inlineStr">
        <is>
          <t>In Progress</t>
        </is>
      </c>
      <c r="V2" s="30" t="inlineStr">
        <is>
          <t>GOVERN, PROTECT</t>
        </is>
      </c>
      <c r="W2" s="30" t="inlineStr">
        <is>
          <t>AC-2, IA-2</t>
        </is>
      </c>
      <c r="X2" s="30" t="inlineStr">
        <is>
          <t>CIS 6, CIS 5</t>
        </is>
      </c>
      <c r="Y2" s="30">
        <f>RANK(O2,$O$2:$O$23,0)+COUNTIF($O$2:O2,O2)-1</f>
        <v/>
      </c>
    </row>
    <row r="3">
      <c r="A3" s="31" t="inlineStr">
        <is>
          <t>R-002</t>
        </is>
      </c>
      <c r="B3" s="31" t="inlineStr">
        <is>
          <t>Business Continuity</t>
        </is>
      </c>
      <c r="C3" s="31" t="inlineStr">
        <is>
          <t>Production SaaS Platform</t>
        </is>
      </c>
      <c r="D3" s="31" t="inlineStr">
        <is>
          <t>Ransomware</t>
        </is>
      </c>
      <c r="E3" s="31" t="inlineStr">
        <is>
          <t>Backup restoration not tested end-to-end</t>
        </is>
      </c>
      <c r="F3" s="31" t="inlineStr">
        <is>
          <t>Ransomware or destructive malware may disrupt operations because recovery procedures have not been fully validated.</t>
        </is>
      </c>
      <c r="G3" s="31" t="n">
        <v>4</v>
      </c>
      <c r="H3" s="31" t="n">
        <v>5</v>
      </c>
      <c r="I3" s="31">
        <f>G3*H3</f>
        <v/>
      </c>
      <c r="J3" s="31">
        <f>IF(I3&gt;=17,"Critical",IF(I3&gt;=10,"High",IF(I3&gt;=5,"Medium","Low")))</f>
        <v/>
      </c>
      <c r="K3" s="31" t="inlineStr">
        <is>
          <t>Endpoint protection, backups, logging</t>
        </is>
      </c>
      <c r="L3" s="31" t="inlineStr">
        <is>
          <t>Partially Effective</t>
        </is>
      </c>
      <c r="M3" s="31" t="n">
        <v>3</v>
      </c>
      <c r="N3" s="31" t="n">
        <v>5</v>
      </c>
      <c r="O3" s="31">
        <f>M3*N3</f>
        <v/>
      </c>
      <c r="P3" s="31">
        <f>IF(O3&gt;=17,"Critical",IF(O3&gt;=10,"High",IF(O3&gt;=5,"Medium","Low")))</f>
        <v/>
      </c>
      <c r="Q3" s="31" t="inlineStr">
        <is>
          <t>Mitigate</t>
        </is>
      </c>
      <c r="R3" s="31" t="inlineStr">
        <is>
          <t>Run backup restore test; confirm RTO/RPO; document executive recovery decision process.</t>
        </is>
      </c>
      <c r="S3" s="31" t="inlineStr">
        <is>
          <t>Director of Infrastructure</t>
        </is>
      </c>
      <c r="T3" s="38" t="n">
        <v>46351</v>
      </c>
      <c r="U3" s="31" t="inlineStr">
        <is>
          <t>Planned</t>
        </is>
      </c>
      <c r="V3" s="31" t="inlineStr">
        <is>
          <t>RESPOND, RECOVER</t>
        </is>
      </c>
      <c r="W3" s="31" t="inlineStr">
        <is>
          <t>CP-9, CP-10, IR-4</t>
        </is>
      </c>
      <c r="X3" s="31" t="inlineStr">
        <is>
          <t>CIS 11, CIS 17</t>
        </is>
      </c>
      <c r="Y3" s="31">
        <f>RANK(O3,$O$2:$O$23,0)+COUNTIF($O$2:O3,O3)-1</f>
        <v/>
      </c>
    </row>
    <row r="4">
      <c r="A4" s="31" t="inlineStr">
        <is>
          <t>R-003</t>
        </is>
      </c>
      <c r="B4" s="31" t="inlineStr">
        <is>
          <t>Cloud Security</t>
        </is>
      </c>
      <c r="C4" s="31" t="inlineStr">
        <is>
          <t>AWS S3 / IAM / Network Configurations</t>
        </is>
      </c>
      <c r="D4" s="31" t="inlineStr">
        <is>
          <t>Cloud misconfiguration</t>
        </is>
      </c>
      <c r="E4" s="31" t="inlineStr">
        <is>
          <t>Manual configuration review and inconsistent preventive guardrails</t>
        </is>
      </c>
      <c r="F4" s="31" t="inlineStr">
        <is>
          <t>Customer data may be exposed because cloud storage, network, or IAM settings could be misconfigured without timely detection.</t>
        </is>
      </c>
      <c r="G4" s="31" t="n">
        <v>4</v>
      </c>
      <c r="H4" s="31" t="n">
        <v>5</v>
      </c>
      <c r="I4" s="31">
        <f>G4*H4</f>
        <v/>
      </c>
      <c r="J4" s="31">
        <f>IF(I4&gt;=17,"Critical",IF(I4&gt;=10,"High",IF(I4&gt;=5,"Medium","Low")))</f>
        <v/>
      </c>
      <c r="K4" s="31" t="inlineStr">
        <is>
          <t>AWS IAM, logging, change review</t>
        </is>
      </c>
      <c r="L4" s="31" t="inlineStr">
        <is>
          <t>Partially Effective</t>
        </is>
      </c>
      <c r="M4" s="31" t="n">
        <v>3</v>
      </c>
      <c r="N4" s="31" t="n">
        <v>5</v>
      </c>
      <c r="O4" s="31">
        <f>M4*N4</f>
        <v/>
      </c>
      <c r="P4" s="31">
        <f>IF(O4&gt;=17,"Critical",IF(O4&gt;=10,"High",IF(O4&gt;=5,"Medium","Low")))</f>
        <v/>
      </c>
      <c r="Q4" s="31" t="inlineStr">
        <is>
          <t>Mitigate</t>
        </is>
      </c>
      <c r="R4" s="31" t="inlineStr">
        <is>
          <t>Implement cloud configuration monitoring; require security review for infrastructure changes; review public exposure alerts monthly.</t>
        </is>
      </c>
      <c r="S4" s="31" t="inlineStr">
        <is>
          <t>Cloud Engineering Manager</t>
        </is>
      </c>
      <c r="T4" s="38" t="n">
        <v>46322</v>
      </c>
      <c r="U4" s="31" t="inlineStr">
        <is>
          <t>In Progress</t>
        </is>
      </c>
      <c r="V4" s="31" t="inlineStr">
        <is>
          <t>IDENTIFY, PROTECT, DETECT</t>
        </is>
      </c>
      <c r="W4" s="31" t="inlineStr">
        <is>
          <t>CM-2, AC-3, SI-4</t>
        </is>
      </c>
      <c r="X4" s="31" t="inlineStr">
        <is>
          <t>CIS 4, CIS 12</t>
        </is>
      </c>
      <c r="Y4" s="31">
        <f>RANK(O4,$O$2:$O$23,0)+COUNTIF($O$2:O4,O4)-1</f>
        <v/>
      </c>
    </row>
    <row r="5">
      <c r="A5" s="31" t="inlineStr">
        <is>
          <t>R-004</t>
        </is>
      </c>
      <c r="B5" s="31" t="inlineStr">
        <is>
          <t>Access Governance</t>
        </is>
      </c>
      <c r="C5" s="31" t="inlineStr">
        <is>
          <t>SaaS Applications</t>
        </is>
      </c>
      <c r="D5" s="31" t="inlineStr">
        <is>
          <t>Excessive privileges</t>
        </is>
      </c>
      <c r="E5" s="31" t="inlineStr">
        <is>
          <t>Access reviews are inconsistent across business applications</t>
        </is>
      </c>
      <c r="F5" s="31" t="inlineStr">
        <is>
          <t>Employees may retain excessive privileges because access is not reviewed consistently across SaaS applications.</t>
        </is>
      </c>
      <c r="G5" s="31" t="n">
        <v>4</v>
      </c>
      <c r="H5" s="31" t="n">
        <v>4</v>
      </c>
      <c r="I5" s="31">
        <f>G5*H5</f>
        <v/>
      </c>
      <c r="J5" s="31">
        <f>IF(I5&gt;=17,"Critical",IF(I5&gt;=10,"High",IF(I5&gt;=5,"Medium","Low")))</f>
        <v/>
      </c>
      <c r="K5" s="31" t="inlineStr">
        <is>
          <t>Manager approvals, SSO groups</t>
        </is>
      </c>
      <c r="L5" s="31" t="inlineStr">
        <is>
          <t>Partially Effective</t>
        </is>
      </c>
      <c r="M5" s="31" t="n">
        <v>3</v>
      </c>
      <c r="N5" s="31" t="n">
        <v>4</v>
      </c>
      <c r="O5" s="31">
        <f>M5*N5</f>
        <v/>
      </c>
      <c r="P5" s="31">
        <f>IF(O5&gt;=17,"Critical",IF(O5&gt;=10,"High",IF(O5&gt;=5,"Medium","Low")))</f>
        <v/>
      </c>
      <c r="Q5" s="31" t="inlineStr">
        <is>
          <t>Mitigate</t>
        </is>
      </c>
      <c r="R5" s="31" t="inlineStr">
        <is>
          <t>Define app owners; conduct quarterly access reviews for critical SaaS apps; track exceptions.</t>
        </is>
      </c>
      <c r="S5" s="31" t="inlineStr">
        <is>
          <t>GRC Lead</t>
        </is>
      </c>
      <c r="T5" s="38" t="n">
        <v>46370</v>
      </c>
      <c r="U5" s="31" t="inlineStr">
        <is>
          <t>Planned</t>
        </is>
      </c>
      <c r="V5" s="31" t="inlineStr">
        <is>
          <t>GOVERN, PROTECT</t>
        </is>
      </c>
      <c r="W5" s="31" t="inlineStr">
        <is>
          <t>AC-2, AC-6</t>
        </is>
      </c>
      <c r="X5" s="31" t="inlineStr">
        <is>
          <t>CIS 5, CIS 6</t>
        </is>
      </c>
      <c r="Y5" s="31">
        <f>RANK(O5,$O$2:$O$23,0)+COUNTIF($O$2:O5,O5)-1</f>
        <v/>
      </c>
    </row>
    <row r="6" ht="95" customHeight="1">
      <c r="A6" s="31" t="inlineStr">
        <is>
          <t>R-005</t>
        </is>
      </c>
      <c r="B6" s="31" t="inlineStr">
        <is>
          <t>Joiner-Mover-Leaver</t>
        </is>
      </c>
      <c r="C6" s="31" t="inlineStr">
        <is>
          <t>Okta / SaaS Apps</t>
        </is>
      </c>
      <c r="D6" s="31" t="inlineStr">
        <is>
          <t>Former employee access</t>
        </is>
      </c>
      <c r="E6" s="31" t="inlineStr">
        <is>
          <t>Deprovisioning depends on timely HR termination notification; residual risk remains if that upstream trigger is delayed.</t>
        </is>
      </c>
      <c r="F6" s="31" t="inlineStr">
        <is>
          <t>A delayed HR termination notification could leave a former employee with access before the otherwise operating removal workflow is triggered.</t>
        </is>
      </c>
      <c r="G6" s="31" t="n">
        <v>3</v>
      </c>
      <c r="H6" s="31" t="n">
        <v>4</v>
      </c>
      <c r="I6" s="31">
        <f>G6*H6</f>
        <v/>
      </c>
      <c r="J6" s="31">
        <f>IF(I6&gt;=17,"Critical",IF(I6&gt;=10,"High",IF(I6&gt;=5,"Medium","Low")))</f>
        <v/>
      </c>
      <c r="K6" s="31" t="inlineStr">
        <is>
          <t>Fictional scenario assumption: SSO deactivation and retained termination records operate consistently when HR notification is received.</t>
        </is>
      </c>
      <c r="L6" s="31" t="inlineStr">
        <is>
          <t>Effective</t>
        </is>
      </c>
      <c r="M6" s="31" t="n">
        <v>2</v>
      </c>
      <c r="N6" s="31" t="n">
        <v>4</v>
      </c>
      <c r="O6" s="31">
        <f>M6*N6</f>
        <v/>
      </c>
      <c r="P6" s="31">
        <f>IF(O6&gt;=17,"Critical",IF(O6&gt;=10,"High",IF(O6&gt;=5,"Medium","Low")))</f>
        <v/>
      </c>
      <c r="Q6" s="31" t="inlineStr">
        <is>
          <t>Mitigate</t>
        </is>
      </c>
      <c r="R6" s="31" t="inlineStr">
        <is>
          <t>Maintain automated deprovisioning and monthly termination sampling; monitor timeliness of HR notification.</t>
        </is>
      </c>
      <c r="S6" s="31" t="inlineStr">
        <is>
          <t>People Operations Manager</t>
        </is>
      </c>
      <c r="T6" s="38" t="n">
        <v>46290</v>
      </c>
      <c r="U6" s="31" t="inlineStr">
        <is>
          <t>In Progress</t>
        </is>
      </c>
      <c r="V6" s="31" t="inlineStr">
        <is>
          <t>PROTECT</t>
        </is>
      </c>
      <c r="W6" s="31" t="inlineStr">
        <is>
          <t>AC-2, PS-4</t>
        </is>
      </c>
      <c r="X6" s="31" t="inlineStr">
        <is>
          <t>CIS 5</t>
        </is>
      </c>
      <c r="Y6" s="31">
        <f>RANK(O6,$O$2:$O$23,0)+COUNTIF($O$2:O6,O6)-1</f>
        <v/>
      </c>
    </row>
    <row r="7">
      <c r="A7" s="31" t="inlineStr">
        <is>
          <t>R-006</t>
        </is>
      </c>
      <c r="B7" s="31" t="inlineStr">
        <is>
          <t>Vendor Management</t>
        </is>
      </c>
      <c r="C7" s="31" t="inlineStr">
        <is>
          <t>Critical SaaS Vendors</t>
        </is>
      </c>
      <c r="D7" s="31" t="inlineStr">
        <is>
          <t>Vendor outage</t>
        </is>
      </c>
      <c r="E7" s="31" t="inlineStr">
        <is>
          <t>Critical vendor continuity requirements not reviewed annually</t>
        </is>
      </c>
      <c r="F7" s="31" t="inlineStr">
        <is>
          <t>A critical SaaS vendor outage may disrupt customer support or operations because continuity expectations are not reviewed.</t>
        </is>
      </c>
      <c r="G7" s="31" t="n">
        <v>3</v>
      </c>
      <c r="H7" s="31" t="n">
        <v>4</v>
      </c>
      <c r="I7" s="31">
        <f>G7*H7</f>
        <v/>
      </c>
      <c r="J7" s="31">
        <f>IF(I7&gt;=17,"Critical",IF(I7&gt;=10,"High",IF(I7&gt;=5,"Medium","Low")))</f>
        <v/>
      </c>
      <c r="K7" s="31" t="inlineStr">
        <is>
          <t>Vendor contracts, status pages</t>
        </is>
      </c>
      <c r="L7" s="31" t="inlineStr">
        <is>
          <t>Partially Effective</t>
        </is>
      </c>
      <c r="M7" s="31" t="n">
        <v>3</v>
      </c>
      <c r="N7" s="31" t="n">
        <v>3</v>
      </c>
      <c r="O7" s="31">
        <f>M7*N7</f>
        <v/>
      </c>
      <c r="P7" s="31">
        <f>IF(O7&gt;=17,"Critical",IF(O7&gt;=10,"High",IF(O7&gt;=5,"Medium","Low")))</f>
        <v/>
      </c>
      <c r="Q7" s="31" t="inlineStr">
        <is>
          <t>Transfer / Mitigate</t>
        </is>
      </c>
      <c r="R7" s="31" t="inlineStr">
        <is>
          <t>Tier vendors; document continuity requirements; review SOC reports and BCP statements annually.</t>
        </is>
      </c>
      <c r="S7" s="31" t="inlineStr">
        <is>
          <t>Procurement Manager</t>
        </is>
      </c>
      <c r="T7" s="38" t="n">
        <v>46399</v>
      </c>
      <c r="U7" s="31" t="inlineStr">
        <is>
          <t>Not Started</t>
        </is>
      </c>
      <c r="V7" s="31" t="inlineStr">
        <is>
          <t>GOVERN, IDENTIFY</t>
        </is>
      </c>
      <c r="W7" s="31" t="inlineStr">
        <is>
          <t>SR-3, CP-2</t>
        </is>
      </c>
      <c r="X7" s="31" t="inlineStr">
        <is>
          <t>CIS 15</t>
        </is>
      </c>
      <c r="Y7" s="31">
        <f>RANK(O7,$O$2:$O$23,0)+COUNTIF($O$2:O7,O7)-1</f>
        <v/>
      </c>
    </row>
    <row r="8">
      <c r="A8" s="31" t="inlineStr">
        <is>
          <t>R-007</t>
        </is>
      </c>
      <c r="B8" s="31" t="inlineStr">
        <is>
          <t>Third-Party Risk</t>
        </is>
      </c>
      <c r="C8" s="31" t="inlineStr">
        <is>
          <t>Customer Data Processors</t>
        </is>
      </c>
      <c r="D8" s="31" t="inlineStr">
        <is>
          <t>Third-party breach</t>
        </is>
      </c>
      <c r="E8" s="31" t="inlineStr">
        <is>
          <t>Vendor security reviews are inconsistent by risk tier</t>
        </is>
      </c>
      <c r="F8" s="31" t="inlineStr">
        <is>
          <t>Customer data may be exposed through a vendor breach because critical vendors are not assessed with consistent due diligence.</t>
        </is>
      </c>
      <c r="G8" s="31" t="n">
        <v>4</v>
      </c>
      <c r="H8" s="31" t="n">
        <v>5</v>
      </c>
      <c r="I8" s="31">
        <f>G8*H8</f>
        <v/>
      </c>
      <c r="J8" s="31">
        <f>IF(I8&gt;=17,"Critical",IF(I8&gt;=10,"High",IF(I8&gt;=5,"Medium","Low")))</f>
        <v/>
      </c>
      <c r="K8" s="31" t="inlineStr">
        <is>
          <t>Contract review, limited questionnaires</t>
        </is>
      </c>
      <c r="L8" s="31" t="inlineStr">
        <is>
          <t>Partially Effective</t>
        </is>
      </c>
      <c r="M8" s="31" t="n">
        <v>3</v>
      </c>
      <c r="N8" s="31" t="n">
        <v>5</v>
      </c>
      <c r="O8" s="31">
        <f>M8*N8</f>
        <v/>
      </c>
      <c r="P8" s="31">
        <f>IF(O8&gt;=17,"Critical",IF(O8&gt;=10,"High",IF(O8&gt;=5,"Medium","Low")))</f>
        <v/>
      </c>
      <c r="Q8" s="31" t="inlineStr">
        <is>
          <t>Mitigate</t>
        </is>
      </c>
      <c r="R8" s="31" t="inlineStr">
        <is>
          <t>Implement NIST SP 800-161-aligned vendor tiering; require annual critical vendor reviews.</t>
        </is>
      </c>
      <c r="S8" s="31" t="inlineStr">
        <is>
          <t>GRC Lead</t>
        </is>
      </c>
      <c r="T8" s="38" t="n">
        <v>46378</v>
      </c>
      <c r="U8" s="31" t="inlineStr">
        <is>
          <t>Planned</t>
        </is>
      </c>
      <c r="V8" s="31" t="inlineStr">
        <is>
          <t>GOVERN, IDENTIFY</t>
        </is>
      </c>
      <c r="W8" s="31" t="inlineStr">
        <is>
          <t>SR-3, SR-6</t>
        </is>
      </c>
      <c r="X8" s="31" t="inlineStr">
        <is>
          <t>CIS 15</t>
        </is>
      </c>
      <c r="Y8" s="31">
        <f>RANK(O8,$O$2:$O$23,0)+COUNTIF($O$2:O8,O8)-1</f>
        <v/>
      </c>
    </row>
    <row r="9">
      <c r="A9" s="31" t="inlineStr">
        <is>
          <t>R-008</t>
        </is>
      </c>
      <c r="B9" s="31" t="inlineStr">
        <is>
          <t>Data Protection</t>
        </is>
      </c>
      <c r="C9" s="31" t="inlineStr">
        <is>
          <t>Backups / Data Stores</t>
        </is>
      </c>
      <c r="D9" s="31" t="inlineStr">
        <is>
          <t>Backup failure</t>
        </is>
      </c>
      <c r="E9" s="31" t="inlineStr">
        <is>
          <t>Backup monitoring lacks periodic restore evidence</t>
        </is>
      </c>
      <c r="F9" s="31" t="inlineStr">
        <is>
          <t>Critical data may not be recoverable because backups are monitored but restoration is not periodically evidenced.</t>
        </is>
      </c>
      <c r="G9" s="31" t="n">
        <v>3</v>
      </c>
      <c r="H9" s="31" t="n">
        <v>5</v>
      </c>
      <c r="I9" s="31">
        <f>G9*H9</f>
        <v/>
      </c>
      <c r="J9" s="31">
        <f>IF(I9&gt;=17,"Critical",IF(I9&gt;=10,"High",IF(I9&gt;=5,"Medium","Low")))</f>
        <v/>
      </c>
      <c r="K9" s="31" t="inlineStr">
        <is>
          <t>Automated backups</t>
        </is>
      </c>
      <c r="L9" s="31" t="inlineStr">
        <is>
          <t>Partially Effective</t>
        </is>
      </c>
      <c r="M9" s="31" t="n">
        <v>2</v>
      </c>
      <c r="N9" s="31" t="n">
        <v>5</v>
      </c>
      <c r="O9" s="31">
        <f>M9*N9</f>
        <v/>
      </c>
      <c r="P9" s="31">
        <f>IF(O9&gt;=17,"Critical",IF(O9&gt;=10,"High",IF(O9&gt;=5,"Medium","Low")))</f>
        <v/>
      </c>
      <c r="Q9" s="31" t="inlineStr">
        <is>
          <t>Mitigate</t>
        </is>
      </c>
      <c r="R9" s="31" t="inlineStr">
        <is>
          <t>Schedule quarterly restore testing and document results.</t>
        </is>
      </c>
      <c r="S9" s="31" t="inlineStr">
        <is>
          <t>Director of Infrastructure</t>
        </is>
      </c>
      <c r="T9" s="38" t="n">
        <v>46351</v>
      </c>
      <c r="U9" s="31" t="inlineStr">
        <is>
          <t>Planned</t>
        </is>
      </c>
      <c r="V9" s="31" t="inlineStr">
        <is>
          <t>RECOVER</t>
        </is>
      </c>
      <c r="W9" s="31" t="inlineStr">
        <is>
          <t>CP-9, CP-10</t>
        </is>
      </c>
      <c r="X9" s="31" t="inlineStr">
        <is>
          <t>CIS 11</t>
        </is>
      </c>
      <c r="Y9" s="31">
        <f>RANK(O9,$O$2:$O$23,0)+COUNTIF($O$2:O9,O9)-1</f>
        <v/>
      </c>
    </row>
    <row r="10">
      <c r="A10" s="31" t="inlineStr">
        <is>
          <t>R-009</t>
        </is>
      </c>
      <c r="B10" s="31" t="inlineStr">
        <is>
          <t>Vulnerability Management</t>
        </is>
      </c>
      <c r="C10" s="31" t="inlineStr">
        <is>
          <t>Production Systems</t>
        </is>
      </c>
      <c r="D10" s="31" t="inlineStr">
        <is>
          <t>Known vulnerability exploitation</t>
        </is>
      </c>
      <c r="E10" s="31" t="inlineStr">
        <is>
          <t>Remediation SLAs are not consistently enforced</t>
        </is>
      </c>
      <c r="F10" s="31" t="inlineStr">
        <is>
          <t>Attackers may exploit known vulnerabilities because critical findings do not always meet remediation SLAs.</t>
        </is>
      </c>
      <c r="G10" s="31" t="n">
        <v>4</v>
      </c>
      <c r="H10" s="31" t="n">
        <v>4</v>
      </c>
      <c r="I10" s="31">
        <f>G10*H10</f>
        <v/>
      </c>
      <c r="J10" s="31">
        <f>IF(I10&gt;=17,"Critical",IF(I10&gt;=10,"High",IF(I10&gt;=5,"Medium","Low")))</f>
        <v/>
      </c>
      <c r="K10" s="31" t="inlineStr">
        <is>
          <t>Scanning, patching</t>
        </is>
      </c>
      <c r="L10" s="31" t="inlineStr">
        <is>
          <t>Partially Effective</t>
        </is>
      </c>
      <c r="M10" s="31" t="n">
        <v>3</v>
      </c>
      <c r="N10" s="31" t="n">
        <v>4</v>
      </c>
      <c r="O10" s="31">
        <f>M10*N10</f>
        <v/>
      </c>
      <c r="P10" s="31">
        <f>IF(O10&gt;=17,"Critical",IF(O10&gt;=10,"High",IF(O10&gt;=5,"Medium","Low")))</f>
        <v/>
      </c>
      <c r="Q10" s="31" t="inlineStr">
        <is>
          <t>Mitigate</t>
        </is>
      </c>
      <c r="R10" s="31" t="inlineStr">
        <is>
          <t>Approve remediation SLA; report overdue critical vulnerabilities; document risk exceptions.</t>
        </is>
      </c>
      <c r="S10" s="31" t="inlineStr">
        <is>
          <t>Security Engineer</t>
        </is>
      </c>
      <c r="T10" s="38" t="n">
        <v>46322</v>
      </c>
      <c r="U10" s="31" t="inlineStr">
        <is>
          <t>In Progress</t>
        </is>
      </c>
      <c r="V10" s="31" t="inlineStr">
        <is>
          <t>IDENTIFY, PROTECT</t>
        </is>
      </c>
      <c r="W10" s="31" t="inlineStr">
        <is>
          <t>RA-5, SI-2</t>
        </is>
      </c>
      <c r="X10" s="31" t="inlineStr">
        <is>
          <t>CIS 7</t>
        </is>
      </c>
      <c r="Y10" s="31">
        <f>RANK(O10,$O$2:$O$23,0)+COUNTIF($O$2:O10,O10)-1</f>
        <v/>
      </c>
    </row>
    <row r="11">
      <c r="A11" s="31" t="inlineStr">
        <is>
          <t>R-010</t>
        </is>
      </c>
      <c r="B11" s="31" t="inlineStr">
        <is>
          <t>Email Security</t>
        </is>
      </c>
      <c r="C11" s="31" t="inlineStr">
        <is>
          <t>Microsoft 365</t>
        </is>
      </c>
      <c r="D11" s="31" t="inlineStr">
        <is>
          <t>Phishing / BEC</t>
        </is>
      </c>
      <c r="E11" s="31" t="inlineStr">
        <is>
          <t>User reporting and simulation metrics are immature</t>
        </is>
      </c>
      <c r="F11" s="31" t="inlineStr">
        <is>
          <t>Business email compromise may occur because phishing resilience and reporting metrics are not mature.</t>
        </is>
      </c>
      <c r="G11" s="31" t="n">
        <v>4</v>
      </c>
      <c r="H11" s="31" t="n">
        <v>4</v>
      </c>
      <c r="I11" s="31">
        <f>G11*H11</f>
        <v/>
      </c>
      <c r="J11" s="31">
        <f>IF(I11&gt;=17,"Critical",IF(I11&gt;=10,"High",IF(I11&gt;=5,"Medium","Low")))</f>
        <v/>
      </c>
      <c r="K11" s="31" t="inlineStr">
        <is>
          <t>Email filtering, MFA, awareness training</t>
        </is>
      </c>
      <c r="L11" s="31" t="inlineStr">
        <is>
          <t>Partially Effective</t>
        </is>
      </c>
      <c r="M11" s="31" t="n">
        <v>3</v>
      </c>
      <c r="N11" s="31" t="n">
        <v>4</v>
      </c>
      <c r="O11" s="31">
        <f>M11*N11</f>
        <v/>
      </c>
      <c r="P11" s="31">
        <f>IF(O11&gt;=17,"Critical",IF(O11&gt;=10,"High",IF(O11&gt;=5,"Medium","Low")))</f>
        <v/>
      </c>
      <c r="Q11" s="31" t="inlineStr">
        <is>
          <t>Mitigate</t>
        </is>
      </c>
      <c r="R11" s="31" t="inlineStr">
        <is>
          <t>Run quarterly phishing simulation; track reporting rate; tune mailbox protections.</t>
        </is>
      </c>
      <c r="S11" s="31" t="inlineStr">
        <is>
          <t>Security Awareness Owner</t>
        </is>
      </c>
      <c r="T11" s="38" t="n">
        <v>46363</v>
      </c>
      <c r="U11" s="31" t="inlineStr">
        <is>
          <t>Planned</t>
        </is>
      </c>
      <c r="V11" s="31" t="inlineStr">
        <is>
          <t>PROTECT, DETECT</t>
        </is>
      </c>
      <c r="W11" s="31" t="inlineStr">
        <is>
          <t>AT-2, SI-4</t>
        </is>
      </c>
      <c r="X11" s="31" t="inlineStr">
        <is>
          <t>CIS 14, CIS 9</t>
        </is>
      </c>
      <c r="Y11" s="31">
        <f>RANK(O11,$O$2:$O$23,0)+COUNTIF($O$2:O11,O11)-1</f>
        <v/>
      </c>
    </row>
    <row r="12">
      <c r="A12" s="31" t="inlineStr">
        <is>
          <t>R-011</t>
        </is>
      </c>
      <c r="B12" s="31" t="inlineStr">
        <is>
          <t>Secure SDLC</t>
        </is>
      </c>
      <c r="C12" s="31" t="inlineStr">
        <is>
          <t>GitHub Repositories</t>
        </is>
      </c>
      <c r="D12" s="31" t="inlineStr">
        <is>
          <t>Source-code exposure</t>
        </is>
      </c>
      <c r="E12" s="31" t="inlineStr">
        <is>
          <t>Repository access and secret scanning exceptions not centrally reviewed</t>
        </is>
      </c>
      <c r="F12" s="31" t="inlineStr">
        <is>
          <t>Source code or secrets may be exposed because repository access and secret scanning exceptions are not consistently reviewed.</t>
        </is>
      </c>
      <c r="G12" s="31" t="n">
        <v>3</v>
      </c>
      <c r="H12" s="31" t="n">
        <v>5</v>
      </c>
      <c r="I12" s="31">
        <f>G12*H12</f>
        <v/>
      </c>
      <c r="J12" s="31">
        <f>IF(I12&gt;=17,"Critical",IF(I12&gt;=10,"High",IF(I12&gt;=5,"Medium","Low")))</f>
        <v/>
      </c>
      <c r="K12" s="31" t="inlineStr">
        <is>
          <t>GitHub access controls, branch protection</t>
        </is>
      </c>
      <c r="L12" s="31" t="inlineStr">
        <is>
          <t>Partially Effective</t>
        </is>
      </c>
      <c r="M12" s="31" t="n">
        <v>2</v>
      </c>
      <c r="N12" s="31" t="n">
        <v>5</v>
      </c>
      <c r="O12" s="31">
        <f>M12*N12</f>
        <v/>
      </c>
      <c r="P12" s="31">
        <f>IF(O12&gt;=17,"Critical",IF(O12&gt;=10,"High",IF(O12&gt;=5,"Medium","Low")))</f>
        <v/>
      </c>
      <c r="Q12" s="31" t="inlineStr">
        <is>
          <t>Mitigate</t>
        </is>
      </c>
      <c r="R12" s="31" t="inlineStr">
        <is>
          <t>Review repo access quarterly; enforce secret scanning; document exceptions.</t>
        </is>
      </c>
      <c r="S12" s="31" t="inlineStr">
        <is>
          <t>Engineering Manager</t>
        </is>
      </c>
      <c r="T12" s="38" t="n">
        <v>46338</v>
      </c>
      <c r="U12" s="31" t="inlineStr">
        <is>
          <t>Planned</t>
        </is>
      </c>
      <c r="V12" s="31" t="inlineStr">
        <is>
          <t>PROTECT, DETECT</t>
        </is>
      </c>
      <c r="W12" s="31" t="inlineStr">
        <is>
          <t>SA-10, CM-5</t>
        </is>
      </c>
      <c r="X12" s="31" t="inlineStr">
        <is>
          <t>CIS 16</t>
        </is>
      </c>
      <c r="Y12" s="31">
        <f>RANK(O12,$O$2:$O$23,0)+COUNTIF($O$2:O12,O12)-1</f>
        <v/>
      </c>
    </row>
    <row r="13">
      <c r="A13" s="31" t="inlineStr">
        <is>
          <t>R-012</t>
        </is>
      </c>
      <c r="B13" s="31" t="inlineStr">
        <is>
          <t>Security Monitoring</t>
        </is>
      </c>
      <c r="C13" s="31" t="inlineStr">
        <is>
          <t>Cloud and SaaS Logs</t>
        </is>
      </c>
      <c r="D13" s="31" t="inlineStr">
        <is>
          <t>Insufficient logging</t>
        </is>
      </c>
      <c r="E13" s="31" t="inlineStr">
        <is>
          <t>Log coverage and alert ownership are not formally mapped</t>
        </is>
      </c>
      <c r="F13" s="31" t="inlineStr">
        <is>
          <t>Security incidents may go undetected because key logs and alert owners are not fully documented.</t>
        </is>
      </c>
      <c r="G13" s="31" t="n">
        <v>4</v>
      </c>
      <c r="H13" s="31" t="n">
        <v>4</v>
      </c>
      <c r="I13" s="31">
        <f>G13*H13</f>
        <v/>
      </c>
      <c r="J13" s="31">
        <f>IF(I13&gt;=17,"Critical",IF(I13&gt;=10,"High",IF(I13&gt;=5,"Medium","Low")))</f>
        <v/>
      </c>
      <c r="K13" s="31" t="inlineStr">
        <is>
          <t>Cloud logs, SaaS logs, endpoint telemetry</t>
        </is>
      </c>
      <c r="L13" s="31" t="inlineStr">
        <is>
          <t>Partially Effective</t>
        </is>
      </c>
      <c r="M13" s="31" t="n">
        <v>3</v>
      </c>
      <c r="N13" s="31" t="n">
        <v>4</v>
      </c>
      <c r="O13" s="31">
        <f>M13*N13</f>
        <v/>
      </c>
      <c r="P13" s="31">
        <f>IF(O13&gt;=17,"Critical",IF(O13&gt;=10,"High",IF(O13&gt;=5,"Medium","Low")))</f>
        <v/>
      </c>
      <c r="Q13" s="31" t="inlineStr">
        <is>
          <t>Mitigate</t>
        </is>
      </c>
      <c r="R13" s="31" t="inlineStr">
        <is>
          <t>Map critical logs; define alert owners; test alert routing monthly.</t>
        </is>
      </c>
      <c r="S13" s="31" t="inlineStr">
        <is>
          <t>Security Operations Lead</t>
        </is>
      </c>
      <c r="T13" s="38" t="n">
        <v>46322</v>
      </c>
      <c r="U13" s="31" t="inlineStr">
        <is>
          <t>In Progress</t>
        </is>
      </c>
      <c r="V13" s="31" t="inlineStr">
        <is>
          <t>DETECT</t>
        </is>
      </c>
      <c r="W13" s="31" t="inlineStr">
        <is>
          <t>AU-6, SI-4</t>
        </is>
      </c>
      <c r="X13" s="31" t="inlineStr">
        <is>
          <t>CIS 8</t>
        </is>
      </c>
      <c r="Y13" s="31">
        <f>RANK(O13,$O$2:$O$23,0)+COUNTIF($O$2:O13,O13)-1</f>
        <v/>
      </c>
    </row>
    <row r="14">
      <c r="A14" s="31" t="inlineStr">
        <is>
          <t>R-013</t>
        </is>
      </c>
      <c r="B14" s="31" t="inlineStr">
        <is>
          <t>Patch Management</t>
        </is>
      </c>
      <c r="C14" s="31" t="inlineStr">
        <is>
          <t>Endpoints / Servers</t>
        </is>
      </c>
      <c r="D14" s="31" t="inlineStr">
        <is>
          <t>Unpatched critical vulnerability</t>
        </is>
      </c>
      <c r="E14" s="31" t="inlineStr">
        <is>
          <t>Patch compliance evidence is incomplete</t>
        </is>
      </c>
      <c r="F14" s="31" t="inlineStr">
        <is>
          <t>Critical vulnerabilities may remain exploitable because patch compliance is not consistently evidenced.</t>
        </is>
      </c>
      <c r="G14" s="31" t="n">
        <v>4</v>
      </c>
      <c r="H14" s="31" t="n">
        <v>4</v>
      </c>
      <c r="I14" s="31">
        <f>G14*H14</f>
        <v/>
      </c>
      <c r="J14" s="31">
        <f>IF(I14&gt;=17,"Critical",IF(I14&gt;=10,"High",IF(I14&gt;=5,"Medium","Low")))</f>
        <v/>
      </c>
      <c r="K14" s="31" t="inlineStr">
        <is>
          <t>Endpoint management, scanning</t>
        </is>
      </c>
      <c r="L14" s="31" t="inlineStr">
        <is>
          <t>Partially Effective</t>
        </is>
      </c>
      <c r="M14" s="31" t="n">
        <v>3</v>
      </c>
      <c r="N14" s="31" t="n">
        <v>4</v>
      </c>
      <c r="O14" s="31">
        <f>M14*N14</f>
        <v/>
      </c>
      <c r="P14" s="31">
        <f>IF(O14&gt;=17,"Critical",IF(O14&gt;=10,"High",IF(O14&gt;=5,"Medium","Low")))</f>
        <v/>
      </c>
      <c r="Q14" s="31" t="inlineStr">
        <is>
          <t>Mitigate</t>
        </is>
      </c>
      <c r="R14" s="31" t="inlineStr">
        <is>
          <t>Create monthly patch compliance report and exception workflow.</t>
        </is>
      </c>
      <c r="S14" s="31" t="inlineStr">
        <is>
          <t>IT Operations Manager</t>
        </is>
      </c>
      <c r="T14" s="38" t="n">
        <v>46315</v>
      </c>
      <c r="U14" s="31" t="inlineStr">
        <is>
          <t>In Progress</t>
        </is>
      </c>
      <c r="V14" s="31" t="inlineStr">
        <is>
          <t>PROTECT</t>
        </is>
      </c>
      <c r="W14" s="31" t="inlineStr">
        <is>
          <t>SI-2</t>
        </is>
      </c>
      <c r="X14" s="31" t="inlineStr">
        <is>
          <t>CIS 7</t>
        </is>
      </c>
      <c r="Y14" s="31">
        <f>RANK(O14,$O$2:$O$23,0)+COUNTIF($O$2:O14,O14)-1</f>
        <v/>
      </c>
    </row>
    <row r="15">
      <c r="A15" s="31" t="inlineStr">
        <is>
          <t>R-014</t>
        </is>
      </c>
      <c r="B15" s="31" t="inlineStr">
        <is>
          <t>Vendor Governance</t>
        </is>
      </c>
      <c r="C15" s="31" t="inlineStr">
        <is>
          <t>New Vendors</t>
        </is>
      </c>
      <c r="D15" s="31" t="inlineStr">
        <is>
          <t>Weak due diligence</t>
        </is>
      </c>
      <c r="E15" s="31" t="inlineStr">
        <is>
          <t>No formal inherent-risk questionnaire before onboarding</t>
        </is>
      </c>
      <c r="F15" s="31" t="inlineStr">
        <is>
          <t>High-risk vendors may be onboarded without appropriate review because inherent risk is not assessed before contracting.</t>
        </is>
      </c>
      <c r="G15" s="31" t="n">
        <v>3</v>
      </c>
      <c r="H15" s="31" t="n">
        <v>4</v>
      </c>
      <c r="I15" s="31">
        <f>G15*H15</f>
        <v/>
      </c>
      <c r="J15" s="31">
        <f>IF(I15&gt;=17,"Critical",IF(I15&gt;=10,"High",IF(I15&gt;=5,"Medium","Low")))</f>
        <v/>
      </c>
      <c r="K15" s="31" t="inlineStr">
        <is>
          <t>Procurement review</t>
        </is>
      </c>
      <c r="L15" s="31" t="inlineStr">
        <is>
          <t>Partially Effective</t>
        </is>
      </c>
      <c r="M15" s="31" t="n">
        <v>3</v>
      </c>
      <c r="N15" s="31" t="n">
        <v>3</v>
      </c>
      <c r="O15" s="31">
        <f>M15*N15</f>
        <v/>
      </c>
      <c r="P15" s="31">
        <f>IF(O15&gt;=17,"Critical",IF(O15&gt;=10,"High",IF(O15&gt;=5,"Medium","Low")))</f>
        <v/>
      </c>
      <c r="Q15" s="31" t="inlineStr">
        <is>
          <t>Mitigate</t>
        </is>
      </c>
      <c r="R15" s="31" t="inlineStr">
        <is>
          <t>Add vendor inherent-risk intake; route high-risk vendors to security review.</t>
        </is>
      </c>
      <c r="S15" s="31" t="inlineStr">
        <is>
          <t>Procurement Manager</t>
        </is>
      </c>
      <c r="T15" s="38" t="n">
        <v>46290</v>
      </c>
      <c r="U15" s="31" t="inlineStr">
        <is>
          <t>Planned</t>
        </is>
      </c>
      <c r="V15" s="31" t="inlineStr">
        <is>
          <t>GOVERN</t>
        </is>
      </c>
      <c r="W15" s="31" t="inlineStr">
        <is>
          <t>SR-3</t>
        </is>
      </c>
      <c r="X15" s="31" t="inlineStr">
        <is>
          <t>CIS 15</t>
        </is>
      </c>
      <c r="Y15" s="31">
        <f>RANK(O15,$O$2:$O$23,0)+COUNTIF($O$2:O15,O15)-1</f>
        <v/>
      </c>
    </row>
    <row r="16" ht="95" customHeight="1">
      <c r="A16" s="31" t="inlineStr">
        <is>
          <t>R-015</t>
        </is>
      </c>
      <c r="B16" s="31" t="inlineStr">
        <is>
          <t>Incident Response</t>
        </is>
      </c>
      <c r="C16" s="31" t="inlineStr">
        <is>
          <t>Enterprise Incident Process</t>
        </is>
      </c>
      <c r="D16" s="31" t="inlineStr">
        <is>
          <t>Untested response plan</t>
        </is>
      </c>
      <c r="E16" s="31" t="inlineStr">
        <is>
          <t>No recent tabletop exercise</t>
        </is>
      </c>
      <c r="F16" s="31" t="inlineStr">
        <is>
          <t>Incident response may be delayed or inconsistent because roles, escalation paths, and communications have not been exercised.</t>
        </is>
      </c>
      <c r="G16" s="31" t="n">
        <v>4</v>
      </c>
      <c r="H16" s="31" t="n">
        <v>5</v>
      </c>
      <c r="I16" s="31">
        <f>G16*H16</f>
        <v/>
      </c>
      <c r="J16" s="31">
        <f>IF(I16&gt;=17,"Critical",IF(I16&gt;=10,"High",IF(I16&gt;=5,"Medium","Low")))</f>
        <v/>
      </c>
      <c r="K16" s="31" t="inlineStr">
        <is>
          <t>IR plan and on-call rotation exist, but no current exercise validates coordinated response. No demonstrated reduction credited to these controls for this risk.</t>
        </is>
      </c>
      <c r="L16" s="31" t="inlineStr">
        <is>
          <t>Ineffective</t>
        </is>
      </c>
      <c r="M16" s="31" t="n">
        <v>4</v>
      </c>
      <c r="N16" s="31" t="n">
        <v>5</v>
      </c>
      <c r="O16" s="31">
        <f>M16*N16</f>
        <v/>
      </c>
      <c r="P16" s="31">
        <f>IF(O16&gt;=17,"Critical",IF(O16&gt;=10,"High",IF(O16&gt;=5,"Medium","Low")))</f>
        <v/>
      </c>
      <c r="Q16" s="31" t="inlineStr">
        <is>
          <t>Mitigate</t>
        </is>
      </c>
      <c r="R16" s="31" t="inlineStr">
        <is>
          <t>Run tabletop aligned to NIST SP 800-61 Rev. 3; capture lessons learned and corrective actions.</t>
        </is>
      </c>
      <c r="S16" s="31" t="inlineStr">
        <is>
          <t>CISO</t>
        </is>
      </c>
      <c r="T16" s="38" t="n">
        <v>46338</v>
      </c>
      <c r="U16" s="31" t="inlineStr">
        <is>
          <t>Planned</t>
        </is>
      </c>
      <c r="V16" s="31" t="inlineStr">
        <is>
          <t>RESPOND</t>
        </is>
      </c>
      <c r="W16" s="31" t="inlineStr">
        <is>
          <t>IR-3, IR-4</t>
        </is>
      </c>
      <c r="X16" s="31" t="inlineStr">
        <is>
          <t>CIS 17</t>
        </is>
      </c>
      <c r="Y16" s="31">
        <f>RANK(O16,$O$2:$O$23,0)+COUNTIF($O$2:O16,O16)-1</f>
        <v/>
      </c>
    </row>
    <row r="17">
      <c r="A17" s="31" t="inlineStr">
        <is>
          <t>R-016</t>
        </is>
      </c>
      <c r="B17" s="31" t="inlineStr">
        <is>
          <t>Data Governance</t>
        </is>
      </c>
      <c r="C17" s="31" t="inlineStr">
        <is>
          <t>Customer Data</t>
        </is>
      </c>
      <c r="D17" s="31" t="inlineStr">
        <is>
          <t>Excessive retention</t>
        </is>
      </c>
      <c r="E17" s="31" t="inlineStr">
        <is>
          <t>Retention rules are not consistently mapped to systems</t>
        </is>
      </c>
      <c r="F17" s="31" t="inlineStr">
        <is>
          <t>Customer data may be retained longer than required because retention rules are not mapped and tested across systems.</t>
        </is>
      </c>
      <c r="G17" s="31" t="n">
        <v>3</v>
      </c>
      <c r="H17" s="31" t="n">
        <v>4</v>
      </c>
      <c r="I17" s="31">
        <f>G17*H17</f>
        <v/>
      </c>
      <c r="J17" s="31">
        <f>IF(I17&gt;=17,"Critical",IF(I17&gt;=10,"High",IF(I17&gt;=5,"Medium","Low")))</f>
        <v/>
      </c>
      <c r="K17" s="31" t="inlineStr">
        <is>
          <t>Contract terms, manual deletion</t>
        </is>
      </c>
      <c r="L17" s="31" t="inlineStr">
        <is>
          <t>Partially Effective</t>
        </is>
      </c>
      <c r="M17" s="31" t="n">
        <v>2</v>
      </c>
      <c r="N17" s="31" t="n">
        <v>4</v>
      </c>
      <c r="O17" s="31">
        <f>M17*N17</f>
        <v/>
      </c>
      <c r="P17" s="31">
        <f>IF(O17&gt;=17,"Critical",IF(O17&gt;=10,"High",IF(O17&gt;=5,"Medium","Low")))</f>
        <v/>
      </c>
      <c r="Q17" s="31" t="inlineStr">
        <is>
          <t>Mitigate</t>
        </is>
      </c>
      <c r="R17" s="31" t="inlineStr">
        <is>
          <t>Create data retention matrix; sample deletion evidence; align with privacy commitments.</t>
        </is>
      </c>
      <c r="S17" s="31" t="inlineStr">
        <is>
          <t>Legal / Privacy Owner</t>
        </is>
      </c>
      <c r="T17" s="38" t="n">
        <v>46414</v>
      </c>
      <c r="U17" s="31" t="inlineStr">
        <is>
          <t>Not Started</t>
        </is>
      </c>
      <c r="V17" s="31" t="inlineStr">
        <is>
          <t>GOVERN, IDENTIFY</t>
        </is>
      </c>
      <c r="W17" s="31" t="inlineStr">
        <is>
          <t>PT-2, SI-12</t>
        </is>
      </c>
      <c r="X17" s="31" t="inlineStr">
        <is>
          <t>CIS 3</t>
        </is>
      </c>
      <c r="Y17" s="31">
        <f>RANK(O17,$O$2:$O$23,0)+COUNTIF($O$2:O17,O17)-1</f>
        <v/>
      </c>
    </row>
    <row r="18">
      <c r="A18" s="31" t="inlineStr">
        <is>
          <t>R-017</t>
        </is>
      </c>
      <c r="B18" s="31" t="inlineStr">
        <is>
          <t>Disaster Recovery</t>
        </is>
      </c>
      <c r="C18" s="31" t="inlineStr">
        <is>
          <t>Production Platform</t>
        </is>
      </c>
      <c r="D18" s="31" t="inlineStr">
        <is>
          <t>Failed DR</t>
        </is>
      </c>
      <c r="E18" s="31" t="inlineStr">
        <is>
          <t>DR exercise not performed in last 12 months</t>
        </is>
      </c>
      <c r="F18" s="31" t="inlineStr">
        <is>
          <t>Pinecastle may fail to restore service within customer expectations because disaster recovery has not been exercised.</t>
        </is>
      </c>
      <c r="G18" s="31" t="n">
        <v>3</v>
      </c>
      <c r="H18" s="31" t="n">
        <v>5</v>
      </c>
      <c r="I18" s="31">
        <f>G18*H18</f>
        <v/>
      </c>
      <c r="J18" s="31">
        <f>IF(I18&gt;=17,"Critical",IF(I18&gt;=10,"High",IF(I18&gt;=5,"Medium","Low")))</f>
        <v/>
      </c>
      <c r="K18" s="31" t="inlineStr">
        <is>
          <t>Backups, infrastructure-as-code</t>
        </is>
      </c>
      <c r="L18" s="31" t="inlineStr">
        <is>
          <t>Partially Effective</t>
        </is>
      </c>
      <c r="M18" s="31" t="n">
        <v>3</v>
      </c>
      <c r="N18" s="31" t="n">
        <v>4</v>
      </c>
      <c r="O18" s="31">
        <f>M18*N18</f>
        <v/>
      </c>
      <c r="P18" s="31">
        <f>IF(O18&gt;=17,"Critical",IF(O18&gt;=10,"High",IF(O18&gt;=5,"Medium","Low")))</f>
        <v/>
      </c>
      <c r="Q18" s="31" t="inlineStr">
        <is>
          <t>Mitigate</t>
        </is>
      </c>
      <c r="R18" s="31" t="inlineStr">
        <is>
          <t>Conduct DR exercise; document RTO/RPO achievement and gaps.</t>
        </is>
      </c>
      <c r="S18" s="31" t="inlineStr">
        <is>
          <t>Director of Infrastructure</t>
        </is>
      </c>
      <c r="T18" s="38" t="n">
        <v>46443</v>
      </c>
      <c r="U18" s="31" t="inlineStr">
        <is>
          <t>Not Started</t>
        </is>
      </c>
      <c r="V18" s="31" t="inlineStr">
        <is>
          <t>RECOVER</t>
        </is>
      </c>
      <c r="W18" s="31" t="inlineStr">
        <is>
          <t>CP-4, CP-10</t>
        </is>
      </c>
      <c r="X18" s="31" t="inlineStr">
        <is>
          <t>CIS 11</t>
        </is>
      </c>
      <c r="Y18" s="31">
        <f>RANK(O18,$O$2:$O$23,0)+COUNTIF($O$2:O18,O18)-1</f>
        <v/>
      </c>
    </row>
    <row r="19" ht="95" customHeight="1">
      <c r="A19" s="31" t="inlineStr">
        <is>
          <t>R-018</t>
        </is>
      </c>
      <c r="B19" s="31" t="inlineStr">
        <is>
          <t>Change Management</t>
        </is>
      </c>
      <c r="C19" s="31" t="inlineStr">
        <is>
          <t>Production Changes</t>
        </is>
      </c>
      <c r="D19" s="31" t="inlineStr">
        <is>
          <t>Unauthorized production change</t>
        </is>
      </c>
      <c r="E19" s="31" t="inlineStr">
        <is>
          <t>An unauthorized change can still bypass the normal approval path; retrospective review is a detective control.</t>
        </is>
      </c>
      <c r="F19" s="31" t="inlineStr">
        <is>
          <t>An unauthorized production change could cause exposure before review detects it, despite consistently operating approvals and emergency post-review.</t>
        </is>
      </c>
      <c r="G19" s="31" t="n">
        <v>3</v>
      </c>
      <c r="H19" s="31" t="n">
        <v>4</v>
      </c>
      <c r="I19" s="31">
        <f>G19*H19</f>
        <v/>
      </c>
      <c r="J19" s="31">
        <f>IF(I19&gt;=17,"Critical",IF(I19&gt;=10,"High",IF(I19&gt;=5,"Medium","Low")))</f>
        <v/>
      </c>
      <c r="K19" s="31" t="inlineStr">
        <is>
          <t>Fictional scenario assumption: pull-request approvals and emergency reviews within five business days operate consistently.</t>
        </is>
      </c>
      <c r="L19" s="31" t="inlineStr">
        <is>
          <t>Effective</t>
        </is>
      </c>
      <c r="M19" s="31" t="n">
        <v>2</v>
      </c>
      <c r="N19" s="31" t="n">
        <v>4</v>
      </c>
      <c r="O19" s="31">
        <f>M19*N19</f>
        <v/>
      </c>
      <c r="P19" s="31">
        <f>IF(O19&gt;=17,"Critical",IF(O19&gt;=10,"High",IF(O19&gt;=5,"Medium","Low")))</f>
        <v/>
      </c>
      <c r="Q19" s="31" t="inlineStr">
        <is>
          <t>Mitigate</t>
        </is>
      </c>
      <c r="R19" s="31" t="inlineStr">
        <is>
          <t>Maintain production approvals and five-business-day emergency review; sample changes monthly.</t>
        </is>
      </c>
      <c r="S19" s="31" t="inlineStr">
        <is>
          <t>Engineering Manager</t>
        </is>
      </c>
      <c r="T19" s="38" t="n">
        <v>46370</v>
      </c>
      <c r="U19" s="31" t="inlineStr">
        <is>
          <t>Planned</t>
        </is>
      </c>
      <c r="V19" s="31" t="inlineStr">
        <is>
          <t>PROTECT</t>
        </is>
      </c>
      <c r="W19" s="31" t="inlineStr">
        <is>
          <t>CM-3</t>
        </is>
      </c>
      <c r="X19" s="31" t="inlineStr">
        <is>
          <t>CIS 4</t>
        </is>
      </c>
      <c r="Y19" s="31">
        <f>RANK(O19,$O$2:$O$23,0)+COUNTIF($O$2:O19,O19)-1</f>
        <v/>
      </c>
    </row>
    <row r="20">
      <c r="A20" s="31" t="inlineStr">
        <is>
          <t>R-019</t>
        </is>
      </c>
      <c r="B20" s="31" t="inlineStr">
        <is>
          <t>Security Training</t>
        </is>
      </c>
      <c r="C20" s="31" t="inlineStr">
        <is>
          <t>Workforce</t>
        </is>
      </c>
      <c r="D20" s="31" t="inlineStr">
        <is>
          <t>Human error</t>
        </is>
      </c>
      <c r="E20" s="31" t="inlineStr">
        <is>
          <t>Training completion evidence is incomplete for contractors</t>
        </is>
      </c>
      <c r="F20" s="31" t="inlineStr">
        <is>
          <t>Security incidents may result from human error because awareness training coverage is not fully evidenced for contractors.</t>
        </is>
      </c>
      <c r="G20" s="31" t="n">
        <v>3</v>
      </c>
      <c r="H20" s="31" t="n">
        <v>3</v>
      </c>
      <c r="I20" s="31">
        <f>G20*H20</f>
        <v/>
      </c>
      <c r="J20" s="31">
        <f>IF(I20&gt;=17,"Critical",IF(I20&gt;=10,"High",IF(I20&gt;=5,"Medium","Low")))</f>
        <v/>
      </c>
      <c r="K20" s="31" t="inlineStr">
        <is>
          <t>Annual training</t>
        </is>
      </c>
      <c r="L20" s="31" t="inlineStr">
        <is>
          <t>Partially Effective</t>
        </is>
      </c>
      <c r="M20" s="31" t="n">
        <v>2</v>
      </c>
      <c r="N20" s="31" t="n">
        <v>3</v>
      </c>
      <c r="O20" s="31">
        <f>M20*N20</f>
        <v/>
      </c>
      <c r="P20" s="31">
        <f>IF(O20&gt;=17,"Critical",IF(O20&gt;=10,"High",IF(O20&gt;=5,"Medium","Low")))</f>
        <v/>
      </c>
      <c r="Q20" s="31" t="inlineStr">
        <is>
          <t>Mitigate</t>
        </is>
      </c>
      <c r="R20" s="31" t="inlineStr">
        <is>
          <t>Extend training tracker to contractors; report overdue completion monthly.</t>
        </is>
      </c>
      <c r="S20" s="31" t="inlineStr">
        <is>
          <t>People Operations Manager</t>
        </is>
      </c>
      <c r="T20" s="38" t="n">
        <v>46322</v>
      </c>
      <c r="U20" s="31" t="inlineStr">
        <is>
          <t>In Progress</t>
        </is>
      </c>
      <c r="V20" s="31" t="inlineStr">
        <is>
          <t>PROTECT</t>
        </is>
      </c>
      <c r="W20" s="31" t="inlineStr">
        <is>
          <t>AT-2</t>
        </is>
      </c>
      <c r="X20" s="31" t="inlineStr">
        <is>
          <t>CIS 14</t>
        </is>
      </c>
      <c r="Y20" s="31">
        <f>RANK(O20,$O$2:$O$23,0)+COUNTIF($O$2:O20,O20)-1</f>
        <v/>
      </c>
    </row>
    <row r="21" ht="95" customHeight="1">
      <c r="A21" s="32" t="inlineStr">
        <is>
          <t>R-020</t>
        </is>
      </c>
      <c r="B21" s="32" t="inlineStr">
        <is>
          <t>Audit Readiness</t>
        </is>
      </c>
      <c r="C21" s="32" t="inlineStr">
        <is>
          <t>Security Evidence</t>
        </is>
      </c>
      <c r="D21" s="32" t="inlineStr">
        <is>
          <t>Missing evidence</t>
        </is>
      </c>
      <c r="E21" s="32" t="inlineStr">
        <is>
          <t>Control evidence is decentralized</t>
        </is>
      </c>
      <c r="F21" s="32" t="inlineStr">
        <is>
          <t>Customer assurance or future SOC 2 readiness may be delayed because control evidence is not centrally organized.</t>
        </is>
      </c>
      <c r="G21" s="32" t="n">
        <v>4</v>
      </c>
      <c r="H21" s="32" t="n">
        <v>4</v>
      </c>
      <c r="I21" s="32">
        <f>G21*H21</f>
        <v/>
      </c>
      <c r="J21" s="32">
        <f>IF(I21&gt;=17,"Critical",IF(I21&gt;=10,"High",IF(I21&gt;=5,"Medium","Low")))</f>
        <v/>
      </c>
      <c r="K21" s="32" t="inlineStr">
        <is>
          <t>Shared folders and ticketing lack central evidence ownership and review; they do not meet the evidence-governance objective.</t>
        </is>
      </c>
      <c r="L21" s="32" t="inlineStr">
        <is>
          <t>Ineffective</t>
        </is>
      </c>
      <c r="M21" s="32" t="n">
        <v>4</v>
      </c>
      <c r="N21" s="32" t="n">
        <v>4</v>
      </c>
      <c r="O21" s="32">
        <f>M21*N21</f>
        <v/>
      </c>
      <c r="P21" s="32">
        <f>IF(O21&gt;=17,"Critical",IF(O21&gt;=10,"High",IF(O21&gt;=5,"Medium","Low")))</f>
        <v/>
      </c>
      <c r="Q21" s="32" t="inlineStr">
        <is>
          <t>Mitigate</t>
        </is>
      </c>
      <c r="R21" s="32" t="inlineStr">
        <is>
          <t>Create evidence inventory; assign evidence owners; establish monthly evidence review for key controls.</t>
        </is>
      </c>
      <c r="S21" s="32" t="inlineStr">
        <is>
          <t>GRC Lead</t>
        </is>
      </c>
      <c r="T21" s="39" t="n">
        <v>46378</v>
      </c>
      <c r="U21" s="32" t="inlineStr">
        <is>
          <t>Planned</t>
        </is>
      </c>
      <c r="V21" s="32" t="inlineStr">
        <is>
          <t>GOVERN</t>
        </is>
      </c>
      <c r="W21" s="32" t="inlineStr">
        <is>
          <t>CA-2, CA-7</t>
        </is>
      </c>
      <c r="X21" s="32" t="inlineStr">
        <is>
          <t>SOC 2 CC2, CC3, CC5</t>
        </is>
      </c>
      <c r="Y21" s="32">
        <f>RANK(O21,$O$2:$O$23,0)+COUNTIF($O$2:O23,O21)-1</f>
        <v/>
      </c>
    </row>
    <row r="22" ht="95" customHeight="1">
      <c r="A22" s="32" t="inlineStr">
        <is>
          <t>R-021</t>
        </is>
      </c>
      <c r="B22" s="32" t="inlineStr">
        <is>
          <t>Payments</t>
        </is>
      </c>
      <c r="C22" s="32" t="inlineStr">
        <is>
          <t>Stripe checkout integration</t>
        </is>
      </c>
      <c r="D22" s="32" t="inlineStr">
        <is>
          <t>Card data entering Pinecastle systems</t>
        </is>
      </c>
      <c r="E22" s="32" t="inlineStr">
        <is>
          <t>No change-review checkpoint flags edits to the checkout or billing pages</t>
        </is>
      </c>
      <c r="F22" s="32" t="inlineStr">
        <is>
          <t>A change to the billing flow could route cardholder data through Pinecastle systems, expanding PCI DSS scope beyond the Stripe-hosted design the company relies on.</t>
        </is>
      </c>
      <c r="G22" s="32" t="n">
        <v>2</v>
      </c>
      <c r="H22" s="32" t="n">
        <v>4</v>
      </c>
      <c r="I22" s="32">
        <f>G22*H22</f>
        <v/>
      </c>
      <c r="J22" s="32">
        <f>IF(I22&gt;=17,"Critical",IF(I22&gt;=10,"High",IF(I22&gt;=5,"Medium","Low")))</f>
        <v/>
      </c>
      <c r="K22" s="32" t="inlineStr">
        <is>
          <t>Stripe-hosted payment pages; pull-request approvals (CHG-01)</t>
        </is>
      </c>
      <c r="L22" s="32" t="inlineStr">
        <is>
          <t>Partially Effective</t>
        </is>
      </c>
      <c r="M22" s="32" t="n">
        <v>2</v>
      </c>
      <c r="N22" s="32" t="n">
        <v>3</v>
      </c>
      <c r="O22" s="32">
        <f>M22*N22</f>
        <v/>
      </c>
      <c r="P22" s="32">
        <f>IF(O22&gt;=17,"Critical",IF(O22&gt;=10,"High",IF(O22&gt;=5,"Medium","Low")))</f>
        <v/>
      </c>
      <c r="Q22" s="32" t="inlineStr">
        <is>
          <t>Mitigate</t>
        </is>
      </c>
      <c r="R22" s="32" t="inlineStr">
        <is>
          <t>Add a payment-flow question to the pull-request template; confirm SAQ A eligibility annually with Finance.</t>
        </is>
      </c>
      <c r="S22" s="32" t="inlineStr">
        <is>
          <t>Engineering Manager</t>
        </is>
      </c>
      <c r="T22" s="39" t="n">
        <v>46472</v>
      </c>
      <c r="U22" s="32" t="inlineStr">
        <is>
          <t>Not Started</t>
        </is>
      </c>
      <c r="V22" s="32" t="inlineStr">
        <is>
          <t>GOVERN, PROTECT</t>
        </is>
      </c>
      <c r="W22" s="32" t="inlineStr">
        <is>
          <t>CM-3, SA-9</t>
        </is>
      </c>
      <c r="X22" s="32" t="inlineStr">
        <is>
          <t>PCI DSS v4.0.1 SAQ A</t>
        </is>
      </c>
      <c r="Y22" s="32">
        <f>RANK(O22,$O$2:$O$23,0)+COUNTIF($O$2:O22,O22)-1</f>
        <v/>
      </c>
    </row>
    <row r="23" ht="95" customHeight="1">
      <c r="A23" s="32" t="inlineStr">
        <is>
          <t>R-022</t>
        </is>
      </c>
      <c r="B23" s="32" t="inlineStr">
        <is>
          <t>Identity and Access Management</t>
        </is>
      </c>
      <c r="C23" s="32" t="inlineStr">
        <is>
          <t>Microsoft Entra ID / Microsoft 365</t>
        </is>
      </c>
      <c r="D23" s="32" t="inlineStr">
        <is>
          <t>Policy bypass through a second identity provider</t>
        </is>
      </c>
      <c r="E23" s="32" t="inlineStr">
        <is>
          <t>Sign-in policies are set separately in Okta and Entra ID and have not been compared</t>
        </is>
      </c>
      <c r="F23" s="32" t="inlineStr">
        <is>
          <t>Users could reach Microsoft 365 through an Entra ID sign-in path that does not apply the Okta MFA and session rules, because the two identity providers are configured separately.</t>
        </is>
      </c>
      <c r="G23" s="32" t="n">
        <v>3</v>
      </c>
      <c r="H23" s="32" t="n">
        <v>4</v>
      </c>
      <c r="I23" s="32">
        <f>G23*H23</f>
        <v/>
      </c>
      <c r="J23" s="32">
        <f>IF(I23&gt;=17,"Critical",IF(I23&gt;=10,"High",IF(I23&gt;=5,"Medium","Low")))</f>
        <v/>
      </c>
      <c r="K23" s="32" t="inlineStr">
        <is>
          <t>Okta SSO for federated apps; Entra ID security defaults</t>
        </is>
      </c>
      <c r="L23" s="32" t="inlineStr">
        <is>
          <t>Partially Effective</t>
        </is>
      </c>
      <c r="M23" s="32" t="n">
        <v>2</v>
      </c>
      <c r="N23" s="32" t="n">
        <v>4</v>
      </c>
      <c r="O23" s="32">
        <f>M23*N23</f>
        <v/>
      </c>
      <c r="P23" s="32">
        <f>IF(O23&gt;=17,"Critical",IF(O23&gt;=10,"High",IF(O23&gt;=5,"Medium","Low")))</f>
        <v/>
      </c>
      <c r="Q23" s="32" t="inlineStr">
        <is>
          <t>Mitigate</t>
        </is>
      </c>
      <c r="R23" s="32" t="inlineStr">
        <is>
          <t>Document which apps authenticate through each provider; align MFA and session policy; block legacy authentication in Entra ID.</t>
        </is>
      </c>
      <c r="S23" s="32" t="inlineStr">
        <is>
          <t>VP of IT</t>
        </is>
      </c>
      <c r="T23" s="39" t="n">
        <v>46413</v>
      </c>
      <c r="U23" s="32" t="inlineStr">
        <is>
          <t>Not Started</t>
        </is>
      </c>
      <c r="V23" s="32" t="inlineStr">
        <is>
          <t>PROTECT</t>
        </is>
      </c>
      <c r="W23" s="32" t="inlineStr">
        <is>
          <t>IA-2, AC-2</t>
        </is>
      </c>
      <c r="X23" s="32" t="inlineStr">
        <is>
          <t>CIS 6</t>
        </is>
      </c>
      <c r="Y23" s="32">
        <f>RANK(O23,$O$2:$O$23,0)+COUNTIF($O$2:O23,O23)-1</f>
        <v/>
      </c>
    </row>
  </sheetData>
  <conditionalFormatting sqref="J2:J23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P2:P23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3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26" customWidth="1" min="4" max="4"/>
    <col width="14" customWidth="1" min="5" max="5"/>
    <col width="16" customWidth="1" min="6" max="6"/>
    <col width="14" customWidth="1" min="7" max="7"/>
    <col width="38" customWidth="1" min="8" max="8"/>
  </cols>
  <sheetData>
    <row r="1">
      <c r="A1" s="27" t="inlineStr">
        <is>
          <t>Risk ID</t>
        </is>
      </c>
      <c r="B1" s="28" t="inlineStr">
        <is>
          <t>Residual Rating</t>
        </is>
      </c>
      <c r="C1" s="28" t="inlineStr">
        <is>
          <t>Action Plan</t>
        </is>
      </c>
      <c r="D1" s="28" t="inlineStr">
        <is>
          <t>Owner</t>
        </is>
      </c>
      <c r="E1" s="28" t="inlineStr">
        <is>
          <t>Due Date</t>
        </is>
      </c>
      <c r="F1" s="28" t="inlineStr">
        <is>
          <t>Status</t>
        </is>
      </c>
      <c r="G1" s="28" t="inlineStr">
        <is>
          <t>Priority</t>
        </is>
      </c>
      <c r="H1" s="29" t="inlineStr">
        <is>
          <t>Notes</t>
        </is>
      </c>
    </row>
    <row r="2">
      <c r="A2" s="30" t="inlineStr">
        <is>
          <t>R-001</t>
        </is>
      </c>
      <c r="B2" s="30">
        <f>'Risk Register'!P2</f>
        <v/>
      </c>
      <c r="C2" s="30" t="inlineStr">
        <is>
          <t>Enforce phishing-resistant MFA for privileged accounts; complete quarterly privileged access review; remove stale admin accounts.</t>
        </is>
      </c>
      <c r="D2" s="30" t="inlineStr">
        <is>
          <t>VP of IT</t>
        </is>
      </c>
      <c r="E2" s="37" t="n">
        <v>46315</v>
      </c>
      <c r="F2" s="30" t="inlineStr">
        <is>
          <t>In Progress</t>
        </is>
      </c>
      <c r="G2" s="30">
        <f>B2</f>
        <v/>
      </c>
      <c r="H2" s="30" t="inlineStr">
        <is>
          <t>Track in monthly GRC remediation review</t>
        </is>
      </c>
    </row>
    <row r="3">
      <c r="A3" s="31" t="inlineStr">
        <is>
          <t>R-002</t>
        </is>
      </c>
      <c r="B3" s="31">
        <f>'Risk Register'!P3</f>
        <v/>
      </c>
      <c r="C3" s="31" t="inlineStr">
        <is>
          <t>Run backup restore test; confirm RTO/RPO; document executive recovery decision process.</t>
        </is>
      </c>
      <c r="D3" s="31" t="inlineStr">
        <is>
          <t>Director of Infrastructure</t>
        </is>
      </c>
      <c r="E3" s="38" t="n">
        <v>46351</v>
      </c>
      <c r="F3" s="31" t="inlineStr">
        <is>
          <t>Planned</t>
        </is>
      </c>
      <c r="G3" s="31">
        <f>B3</f>
        <v/>
      </c>
      <c r="H3" s="31" t="inlineStr">
        <is>
          <t>Track in monthly GRC remediation review</t>
        </is>
      </c>
    </row>
    <row r="4">
      <c r="A4" s="31" t="inlineStr">
        <is>
          <t>R-003</t>
        </is>
      </c>
      <c r="B4" s="31">
        <f>'Risk Register'!P4</f>
        <v/>
      </c>
      <c r="C4" s="31" t="inlineStr">
        <is>
          <t>Implement cloud configuration monitoring; require security review for infrastructure changes; review public exposure alerts monthly.</t>
        </is>
      </c>
      <c r="D4" s="31" t="inlineStr">
        <is>
          <t>Cloud Engineering Manager</t>
        </is>
      </c>
      <c r="E4" s="38" t="n">
        <v>46322</v>
      </c>
      <c r="F4" s="31" t="inlineStr">
        <is>
          <t>In Progress</t>
        </is>
      </c>
      <c r="G4" s="31">
        <f>B4</f>
        <v/>
      </c>
      <c r="H4" s="31" t="inlineStr">
        <is>
          <t>Track in monthly GRC remediation review</t>
        </is>
      </c>
    </row>
    <row r="5">
      <c r="A5" s="31" t="inlineStr">
        <is>
          <t>R-004</t>
        </is>
      </c>
      <c r="B5" s="31">
        <f>'Risk Register'!P5</f>
        <v/>
      </c>
      <c r="C5" s="31" t="inlineStr">
        <is>
          <t>Define app owners; conduct quarterly access reviews for critical SaaS apps; track exceptions.</t>
        </is>
      </c>
      <c r="D5" s="31" t="inlineStr">
        <is>
          <t>GRC Lead</t>
        </is>
      </c>
      <c r="E5" s="38" t="n">
        <v>46370</v>
      </c>
      <c r="F5" s="31" t="inlineStr">
        <is>
          <t>Planned</t>
        </is>
      </c>
      <c r="G5" s="31">
        <f>B5</f>
        <v/>
      </c>
      <c r="H5" s="31" t="inlineStr">
        <is>
          <t>Track in monthly GRC remediation review</t>
        </is>
      </c>
    </row>
    <row r="6">
      <c r="A6" s="31" t="inlineStr">
        <is>
          <t>R-005</t>
        </is>
      </c>
      <c r="B6" s="31">
        <f>'Risk Register'!P6</f>
        <v/>
      </c>
      <c r="C6" s="31" t="inlineStr">
        <is>
          <t>Maintain automated deprovisioning and monthly termination sampling; monitor timeliness of HR notification.</t>
        </is>
      </c>
      <c r="D6" s="31" t="inlineStr">
        <is>
          <t>People Operations Manager</t>
        </is>
      </c>
      <c r="E6" s="38" t="n">
        <v>46290</v>
      </c>
      <c r="F6" s="31" t="inlineStr">
        <is>
          <t>In Progress</t>
        </is>
      </c>
      <c r="G6" s="31">
        <f>B6</f>
        <v/>
      </c>
      <c r="H6" s="31" t="inlineStr">
        <is>
          <t>Track in monthly GRC remediation review</t>
        </is>
      </c>
    </row>
    <row r="7">
      <c r="A7" s="31" t="inlineStr">
        <is>
          <t>R-006</t>
        </is>
      </c>
      <c r="B7" s="31">
        <f>'Risk Register'!P7</f>
        <v/>
      </c>
      <c r="C7" s="31" t="inlineStr">
        <is>
          <t>Tier vendors; document continuity requirements; review SOC reports and BCP statements annually.</t>
        </is>
      </c>
      <c r="D7" s="31" t="inlineStr">
        <is>
          <t>Procurement Manager</t>
        </is>
      </c>
      <c r="E7" s="38" t="n">
        <v>46399</v>
      </c>
      <c r="F7" s="31" t="inlineStr">
        <is>
          <t>Not Started</t>
        </is>
      </c>
      <c r="G7" s="31">
        <f>B7</f>
        <v/>
      </c>
      <c r="H7" s="31" t="inlineStr">
        <is>
          <t>Track in monthly GRC remediation review</t>
        </is>
      </c>
    </row>
    <row r="8">
      <c r="A8" s="31" t="inlineStr">
        <is>
          <t>R-007</t>
        </is>
      </c>
      <c r="B8" s="31">
        <f>'Risk Register'!P8</f>
        <v/>
      </c>
      <c r="C8" s="31" t="inlineStr">
        <is>
          <t>Implement NIST SP 800-161-aligned vendor tiering; require annual critical vendor reviews.</t>
        </is>
      </c>
      <c r="D8" s="31" t="inlineStr">
        <is>
          <t>GRC Lead</t>
        </is>
      </c>
      <c r="E8" s="38" t="n">
        <v>46378</v>
      </c>
      <c r="F8" s="31" t="inlineStr">
        <is>
          <t>Planned</t>
        </is>
      </c>
      <c r="G8" s="31">
        <f>B8</f>
        <v/>
      </c>
      <c r="H8" s="31" t="inlineStr">
        <is>
          <t>Track in monthly GRC remediation review</t>
        </is>
      </c>
    </row>
    <row r="9">
      <c r="A9" s="31" t="inlineStr">
        <is>
          <t>R-008</t>
        </is>
      </c>
      <c r="B9" s="31">
        <f>'Risk Register'!P9</f>
        <v/>
      </c>
      <c r="C9" s="31" t="inlineStr">
        <is>
          <t>Schedule quarterly restore testing and document results.</t>
        </is>
      </c>
      <c r="D9" s="31" t="inlineStr">
        <is>
          <t>Director of Infrastructure</t>
        </is>
      </c>
      <c r="E9" s="38" t="n">
        <v>46351</v>
      </c>
      <c r="F9" s="31" t="inlineStr">
        <is>
          <t>Planned</t>
        </is>
      </c>
      <c r="G9" s="31">
        <f>B9</f>
        <v/>
      </c>
      <c r="H9" s="31" t="inlineStr">
        <is>
          <t>Track in monthly GRC remediation review</t>
        </is>
      </c>
    </row>
    <row r="10">
      <c r="A10" s="31" t="inlineStr">
        <is>
          <t>R-009</t>
        </is>
      </c>
      <c r="B10" s="31">
        <f>'Risk Register'!P10</f>
        <v/>
      </c>
      <c r="C10" s="31" t="inlineStr">
        <is>
          <t>Approve remediation SLA; report overdue critical vulnerabilities; document risk exceptions.</t>
        </is>
      </c>
      <c r="D10" s="31" t="inlineStr">
        <is>
          <t>Security Engineer</t>
        </is>
      </c>
      <c r="E10" s="38" t="n">
        <v>46322</v>
      </c>
      <c r="F10" s="31" t="inlineStr">
        <is>
          <t>In Progress</t>
        </is>
      </c>
      <c r="G10" s="31">
        <f>B10</f>
        <v/>
      </c>
      <c r="H10" s="31" t="inlineStr">
        <is>
          <t>Track in monthly GRC remediation review</t>
        </is>
      </c>
    </row>
    <row r="11">
      <c r="A11" s="31" t="inlineStr">
        <is>
          <t>R-010</t>
        </is>
      </c>
      <c r="B11" s="31">
        <f>'Risk Register'!P11</f>
        <v/>
      </c>
      <c r="C11" s="31" t="inlineStr">
        <is>
          <t>Run quarterly phishing simulation; track reporting rate; tune mailbox protections.</t>
        </is>
      </c>
      <c r="D11" s="31" t="inlineStr">
        <is>
          <t>Security Awareness Owner</t>
        </is>
      </c>
      <c r="E11" s="38" t="n">
        <v>46363</v>
      </c>
      <c r="F11" s="31" t="inlineStr">
        <is>
          <t>Planned</t>
        </is>
      </c>
      <c r="G11" s="31">
        <f>B11</f>
        <v/>
      </c>
      <c r="H11" s="31" t="inlineStr">
        <is>
          <t>Track in monthly GRC remediation review</t>
        </is>
      </c>
    </row>
    <row r="12">
      <c r="A12" s="31" t="inlineStr">
        <is>
          <t>R-011</t>
        </is>
      </c>
      <c r="B12" s="31">
        <f>'Risk Register'!P12</f>
        <v/>
      </c>
      <c r="C12" s="31" t="inlineStr">
        <is>
          <t>Review repo access quarterly; enforce secret scanning; document exceptions.</t>
        </is>
      </c>
      <c r="D12" s="31" t="inlineStr">
        <is>
          <t>Engineering Manager</t>
        </is>
      </c>
      <c r="E12" s="38" t="n">
        <v>46338</v>
      </c>
      <c r="F12" s="31" t="inlineStr">
        <is>
          <t>Planned</t>
        </is>
      </c>
      <c r="G12" s="31">
        <f>B12</f>
        <v/>
      </c>
      <c r="H12" s="31" t="inlineStr">
        <is>
          <t>Track in monthly GRC remediation review</t>
        </is>
      </c>
    </row>
    <row r="13">
      <c r="A13" s="31" t="inlineStr">
        <is>
          <t>R-012</t>
        </is>
      </c>
      <c r="B13" s="31">
        <f>'Risk Register'!P13</f>
        <v/>
      </c>
      <c r="C13" s="31" t="inlineStr">
        <is>
          <t>Map critical logs; define alert owners; test alert routing monthly.</t>
        </is>
      </c>
      <c r="D13" s="31" t="inlineStr">
        <is>
          <t>Security Operations Lead</t>
        </is>
      </c>
      <c r="E13" s="38" t="n">
        <v>46322</v>
      </c>
      <c r="F13" s="31" t="inlineStr">
        <is>
          <t>In Progress</t>
        </is>
      </c>
      <c r="G13" s="31">
        <f>B13</f>
        <v/>
      </c>
      <c r="H13" s="31" t="inlineStr">
        <is>
          <t>Track in monthly GRC remediation review</t>
        </is>
      </c>
    </row>
    <row r="14">
      <c r="A14" s="31" t="inlineStr">
        <is>
          <t>R-013</t>
        </is>
      </c>
      <c r="B14" s="31">
        <f>'Risk Register'!P14</f>
        <v/>
      </c>
      <c r="C14" s="31" t="inlineStr">
        <is>
          <t>Create monthly patch compliance report and exception workflow.</t>
        </is>
      </c>
      <c r="D14" s="31" t="inlineStr">
        <is>
          <t>IT Operations Manager</t>
        </is>
      </c>
      <c r="E14" s="38" t="n">
        <v>46315</v>
      </c>
      <c r="F14" s="31" t="inlineStr">
        <is>
          <t>In Progress</t>
        </is>
      </c>
      <c r="G14" s="31">
        <f>B14</f>
        <v/>
      </c>
      <c r="H14" s="31" t="inlineStr">
        <is>
          <t>Track in monthly GRC remediation review</t>
        </is>
      </c>
    </row>
    <row r="15">
      <c r="A15" s="31" t="inlineStr">
        <is>
          <t>R-014</t>
        </is>
      </c>
      <c r="B15" s="31">
        <f>'Risk Register'!P15</f>
        <v/>
      </c>
      <c r="C15" s="31" t="inlineStr">
        <is>
          <t>Add vendor inherent-risk intake; route high-risk vendors to security review.</t>
        </is>
      </c>
      <c r="D15" s="31" t="inlineStr">
        <is>
          <t>Procurement Manager</t>
        </is>
      </c>
      <c r="E15" s="38" t="n">
        <v>46290</v>
      </c>
      <c r="F15" s="31" t="inlineStr">
        <is>
          <t>Planned</t>
        </is>
      </c>
      <c r="G15" s="31">
        <f>B15</f>
        <v/>
      </c>
      <c r="H15" s="31" t="inlineStr">
        <is>
          <t>Track in monthly GRC remediation review</t>
        </is>
      </c>
    </row>
    <row r="16">
      <c r="A16" s="31" t="inlineStr">
        <is>
          <t>R-015</t>
        </is>
      </c>
      <c r="B16" s="31">
        <f>'Risk Register'!P16</f>
        <v/>
      </c>
      <c r="C16" s="31" t="inlineStr">
        <is>
          <t>Run tabletop aligned to NIST SP 800-61 Rev. 3; capture lessons learned and corrective actions.</t>
        </is>
      </c>
      <c r="D16" s="31" t="inlineStr">
        <is>
          <t>CISO</t>
        </is>
      </c>
      <c r="E16" s="38" t="n">
        <v>46338</v>
      </c>
      <c r="F16" s="31" t="inlineStr">
        <is>
          <t>Planned</t>
        </is>
      </c>
      <c r="G16" s="31">
        <f>B16</f>
        <v/>
      </c>
      <c r="H16" s="31" t="inlineStr">
        <is>
          <t>Critical residual 20. Escalate to leadership; tabletop and corrective-action evidence required before crediting risk reduction.</t>
        </is>
      </c>
    </row>
    <row r="17">
      <c r="A17" s="31" t="inlineStr">
        <is>
          <t>R-016</t>
        </is>
      </c>
      <c r="B17" s="31">
        <f>'Risk Register'!P17</f>
        <v/>
      </c>
      <c r="C17" s="31" t="inlineStr">
        <is>
          <t>Create data retention matrix; sample deletion evidence; align with privacy commitments.</t>
        </is>
      </c>
      <c r="D17" s="31" t="inlineStr">
        <is>
          <t>Legal / Privacy Owner</t>
        </is>
      </c>
      <c r="E17" s="38" t="n">
        <v>46414</v>
      </c>
      <c r="F17" s="31" t="inlineStr">
        <is>
          <t>Not Started</t>
        </is>
      </c>
      <c r="G17" s="31">
        <f>B17</f>
        <v/>
      </c>
      <c r="H17" s="31" t="inlineStr">
        <is>
          <t>Track in monthly GRC remediation review</t>
        </is>
      </c>
    </row>
    <row r="18">
      <c r="A18" s="31" t="inlineStr">
        <is>
          <t>R-017</t>
        </is>
      </c>
      <c r="B18" s="31">
        <f>'Risk Register'!P18</f>
        <v/>
      </c>
      <c r="C18" s="31" t="inlineStr">
        <is>
          <t>Conduct DR exercise; document RTO/RPO achievement and gaps.</t>
        </is>
      </c>
      <c r="D18" s="31" t="inlineStr">
        <is>
          <t>Director of Infrastructure</t>
        </is>
      </c>
      <c r="E18" s="38" t="n">
        <v>46443</v>
      </c>
      <c r="F18" s="31" t="inlineStr">
        <is>
          <t>Not Started</t>
        </is>
      </c>
      <c r="G18" s="31">
        <f>B18</f>
        <v/>
      </c>
      <c r="H18" s="31" t="inlineStr">
        <is>
          <t>Track in monthly GRC remediation review</t>
        </is>
      </c>
    </row>
    <row r="19">
      <c r="A19" s="31" t="inlineStr">
        <is>
          <t>R-018</t>
        </is>
      </c>
      <c r="B19" s="31">
        <f>'Risk Register'!P19</f>
        <v/>
      </c>
      <c r="C19" s="31" t="inlineStr">
        <is>
          <t>Maintain production approvals and five-business-day emergency review; sample changes monthly.</t>
        </is>
      </c>
      <c r="D19" s="31" t="inlineStr">
        <is>
          <t>Engineering Manager</t>
        </is>
      </c>
      <c r="E19" s="38" t="n">
        <v>46370</v>
      </c>
      <c r="F19" s="31" t="inlineStr">
        <is>
          <t>Planned</t>
        </is>
      </c>
      <c r="G19" s="31">
        <f>B19</f>
        <v/>
      </c>
      <c r="H19" s="31" t="inlineStr">
        <is>
          <t>Track in monthly GRC remediation review</t>
        </is>
      </c>
    </row>
    <row r="20">
      <c r="A20" s="31" t="inlineStr">
        <is>
          <t>R-019</t>
        </is>
      </c>
      <c r="B20" s="31">
        <f>'Risk Register'!P20</f>
        <v/>
      </c>
      <c r="C20" s="31" t="inlineStr">
        <is>
          <t>Extend training tracker to contractors; report overdue completion monthly.</t>
        </is>
      </c>
      <c r="D20" s="31" t="inlineStr">
        <is>
          <t>People Operations Manager</t>
        </is>
      </c>
      <c r="E20" s="38" t="n">
        <v>46322</v>
      </c>
      <c r="F20" s="31" t="inlineStr">
        <is>
          <t>In Progress</t>
        </is>
      </c>
      <c r="G20" s="31">
        <f>B20</f>
        <v/>
      </c>
      <c r="H20" s="31" t="inlineStr">
        <is>
          <t>Track in monthly GRC remediation review</t>
        </is>
      </c>
    </row>
    <row r="21">
      <c r="A21" s="32" t="inlineStr">
        <is>
          <t>R-020</t>
        </is>
      </c>
      <c r="B21" s="32">
        <f>'Risk Register'!P21</f>
        <v/>
      </c>
      <c r="C21" s="32" t="inlineStr">
        <is>
          <t>Create evidence inventory; assign evidence owners; establish monthly evidence review for key controls.</t>
        </is>
      </c>
      <c r="D21" s="32" t="inlineStr">
        <is>
          <t>GRC Lead</t>
        </is>
      </c>
      <c r="E21" s="39" t="n">
        <v>46378</v>
      </c>
      <c r="F21" s="32" t="inlineStr">
        <is>
          <t>Planned</t>
        </is>
      </c>
      <c r="G21" s="32">
        <f>B21</f>
        <v/>
      </c>
      <c r="H21" s="32" t="inlineStr">
        <is>
          <t>Residual 16 equals inherent: existing storage tools do not constitute an effective evidence-governance process.</t>
        </is>
      </c>
    </row>
    <row r="22">
      <c r="A22" s="31" t="inlineStr">
        <is>
          <t>R-021</t>
        </is>
      </c>
      <c r="B22" s="31">
        <f>'Risk Register'!P22</f>
        <v/>
      </c>
      <c r="C22" s="31" t="inlineStr">
        <is>
          <t>Add a payment-flow question to the pull-request template; confirm SAQ A eligibility annually with Finance.</t>
        </is>
      </c>
      <c r="D22" s="31" t="inlineStr">
        <is>
          <t>Engineering Manager</t>
        </is>
      </c>
      <c r="E22" s="38" t="n">
        <v>46472</v>
      </c>
      <c r="F22" s="31" t="inlineStr">
        <is>
          <t>Not Started</t>
        </is>
      </c>
      <c r="G22" s="31">
        <f>B22</f>
        <v/>
      </c>
      <c r="H22" s="31" t="inlineStr">
        <is>
          <t>Coordinate with Finance; no card data is in scope today.</t>
        </is>
      </c>
    </row>
    <row r="23">
      <c r="A23" s="31" t="inlineStr">
        <is>
          <t>R-022</t>
        </is>
      </c>
      <c r="B23" s="31">
        <f>'Risk Register'!P23</f>
        <v/>
      </c>
      <c r="C23" s="31" t="inlineStr">
        <is>
          <t>Document which apps authenticate through each provider; align MFA and session policy; block legacy authentication in Entra ID.</t>
        </is>
      </c>
      <c r="D23" s="31" t="inlineStr">
        <is>
          <t>VP of IT</t>
        </is>
      </c>
      <c r="E23" s="38" t="n">
        <v>46413</v>
      </c>
      <c r="F23" s="31" t="inlineStr">
        <is>
          <t>Not Started</t>
        </is>
      </c>
      <c r="G23" s="31">
        <f>B23</f>
        <v/>
      </c>
      <c r="H23" s="31" t="inlineStr">
        <is>
          <t>Depends on the R-001 privileged MFA work landing first.</t>
        </is>
      </c>
    </row>
  </sheetData>
  <conditionalFormatting sqref="B2:B23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G2:G23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4" customWidth="1" min="2" max="2"/>
    <col width="42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 in Workbook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Primary program framework and functions</t>
        </is>
      </c>
    </row>
    <row r="3">
      <c r="A3" s="31" t="inlineStr">
        <is>
          <t>NIST SP 800-30 Rev. 1</t>
        </is>
      </c>
      <c r="B3" s="31" t="inlineStr">
        <is>
          <t>https://csrc.nist.gov/pubs/sp/800/30/r1/final</t>
        </is>
      </c>
      <c r="C3" s="31" t="inlineStr">
        <is>
          <t>Risk-assessment methodology</t>
        </is>
      </c>
    </row>
    <row r="4">
      <c r="A4" s="31" t="inlineStr">
        <is>
          <t>NIST IR 8286 Rev. 1</t>
        </is>
      </c>
      <c r="B4" s="31" t="inlineStr">
        <is>
          <t>https://csrc.nist.gov/pubs/ir/8286/r1/final</t>
        </is>
      </c>
      <c r="C4" s="31" t="inlineStr">
        <is>
          <t>Cybersecurity risk integration with ERM</t>
        </is>
      </c>
    </row>
    <row r="5">
      <c r="A5" s="31" t="inlineStr">
        <is>
          <t>NIST IR 8286A Rev. 1</t>
        </is>
      </c>
      <c r="B5" s="31" t="inlineStr">
        <is>
          <t>https://csrc.nist.gov/pubs/ir/8286/a/r1/final</t>
        </is>
      </c>
      <c r="C5" s="31" t="inlineStr">
        <is>
          <t>Risk identification and estimation for ERM</t>
        </is>
      </c>
    </row>
    <row r="6">
      <c r="A6" s="31" t="inlineStr">
        <is>
          <t>NIST IR 8286C Rev. 1</t>
        </is>
      </c>
      <c r="B6" s="31" t="inlineStr">
        <is>
          <t>https://csrc.nist.gov/pubs/ir/8286/c/r1/final</t>
        </is>
      </c>
      <c r="C6" s="31" t="inlineStr">
        <is>
          <t>Risk staging and governance oversight</t>
        </is>
      </c>
    </row>
    <row r="7">
      <c r="A7" s="31" t="inlineStr">
        <is>
          <t>NIST SP 1308</t>
        </is>
      </c>
      <c r="B7" s="31" t="inlineStr">
        <is>
          <t>https://csrc.nist.gov/pubs/sp/1308/final</t>
        </is>
      </c>
      <c r="C7" s="31" t="inlineStr">
        <is>
          <t>CSF 2.0, ERM, and workforce management</t>
        </is>
      </c>
    </row>
    <row r="8">
      <c r="A8" s="31" t="inlineStr">
        <is>
          <t>NIST SP 800-53 Rev. 5 Release 5.2.0</t>
        </is>
      </c>
      <c r="B8" s="31" t="inlineStr">
        <is>
          <t>https://csrc.nist.gov/News/2025/nist-releases-revision-to-sp-800-53-controls</t>
        </is>
      </c>
      <c r="C8" s="31" t="inlineStr">
        <is>
          <t>Control catalog reference</t>
        </is>
      </c>
    </row>
    <row r="9">
      <c r="A9" s="31" t="inlineStr">
        <is>
          <t>NIST SP 800-53A Rev. 5</t>
        </is>
      </c>
      <c r="B9" s="31" t="inlineStr">
        <is>
          <t>https://csrc.nist.gov/pubs/sp/800/53/a/r5/final</t>
        </is>
      </c>
      <c r="C9" s="31" t="inlineStr">
        <is>
          <t>Control assessment reference</t>
        </is>
      </c>
    </row>
    <row r="10">
      <c r="A10" s="31" t="inlineStr">
        <is>
          <t>NIST SP 800-161 Rev. 1 Update 1</t>
        </is>
      </c>
      <c r="B10" s="31" t="inlineStr">
        <is>
          <t>https://csrc.nist.gov/pubs/sp/800/161/r1/upd1/final</t>
        </is>
      </c>
      <c r="C10" s="31" t="inlineStr">
        <is>
          <t>Supply-chain risk reference</t>
        </is>
      </c>
    </row>
    <row r="11">
      <c r="A11" s="31" t="inlineStr">
        <is>
          <t>CIS Controls v8.1</t>
        </is>
      </c>
      <c r="B11" s="31" t="inlineStr">
        <is>
          <t>https://www.cisecurity.org/controls/v8-1</t>
        </is>
      </c>
      <c r="C11" s="31" t="inlineStr">
        <is>
          <t>Prioritized safeguards</t>
        </is>
      </c>
    </row>
    <row r="12">
      <c r="A12" s="31" t="inlineStr">
        <is>
          <t>ISO/IEC 27001:2022/Amd 1:2024</t>
        </is>
      </c>
      <c r="B12" s="31" t="inlineStr">
        <is>
          <t>https://www.iso.org/standard/88435.html</t>
        </is>
      </c>
      <c r="C12" s="31" t="inlineStr">
        <is>
          <t>ISMS requirements</t>
        </is>
      </c>
    </row>
    <row r="13">
      <c r="A13" s="31" t="inlineStr">
        <is>
          <t>ISO/IEC 27002:2022</t>
        </is>
      </c>
      <c r="B13" s="31" t="inlineStr">
        <is>
          <t>https://www.iso.org/standard/75652.html</t>
        </is>
      </c>
      <c r="C13" s="31" t="inlineStr">
        <is>
          <t>Security control guidance</t>
        </is>
      </c>
    </row>
    <row r="14">
      <c r="A14" s="31" t="inlineStr">
        <is>
          <t>AICPA TSC revised points of focus 2022</t>
        </is>
      </c>
      <c r="B14" s="31" t="inlineStr">
        <is>
          <t>https://www.aicpa-cima.com/resources/download/2017-trust-services-criteria-with-revised-points-of-focus-2022</t>
        </is>
      </c>
      <c r="C14" s="31" t="inlineStr">
        <is>
          <t>SOC 2 criteria reference</t>
        </is>
      </c>
    </row>
    <row r="15">
      <c r="A15" s="31" t="inlineStr">
        <is>
          <t>NIST SP 800-61 Rev. 3</t>
        </is>
      </c>
      <c r="B15" s="31" t="inlineStr">
        <is>
          <t>https://csrc.nist.gov/pubs/sp/800/61/r3/final</t>
        </is>
      </c>
      <c r="C15" s="31" t="inlineStr">
        <is>
          <t>Incident response</t>
        </is>
      </c>
    </row>
    <row r="16">
      <c r="A16" s="31" t="inlineStr">
        <is>
          <t>NIST SP 800-171 Rev. 3</t>
        </is>
      </c>
      <c r="B16" s="31" t="inlineStr">
        <is>
          <t>https://csrc.nist.gov/pubs/sp/800/171/r3/final</t>
        </is>
      </c>
      <c r="C16" s="31" t="inlineStr">
        <is>
          <t>CUI reference where relevant</t>
        </is>
      </c>
    </row>
    <row r="17">
      <c r="A17" s="31" t="inlineStr">
        <is>
          <t>ISO/IEC 27017:2026</t>
        </is>
      </c>
      <c r="B17" s="31" t="inlineStr">
        <is>
          <t>https://www.iso.org/standard/43757.html</t>
        </is>
      </c>
      <c r="C17" s="31" t="inlineStr">
        <is>
          <t>Cloud-specific control guidance</t>
        </is>
      </c>
    </row>
    <row r="18">
      <c r="A18" s="32" t="inlineStr">
        <is>
          <t>PCI DSS v4.0.1</t>
        </is>
      </c>
      <c r="B18" s="32" t="inlineStr">
        <is>
          <t>https://www.pcisecuritystandards.org/document_library/</t>
        </is>
      </c>
      <c r="C18" s="32" t="inlineStr">
        <is>
          <t>Payment-card reference where relevant</t>
        </is>
      </c>
    </row>
    <row r="19" ht="36" customHeight="1">
      <c r="A19" s="32" t="inlineStr">
        <is>
          <t>Scenario dates and rating definitions</t>
        </is>
      </c>
      <c r="B19" s="32" t="inlineStr">
        <is>
          <t>Fictional assessment assumptions; see shared company profile</t>
        </is>
      </c>
      <c r="C19" s="32" t="inlineStr">
        <is>
          <t>../../00-company-profile/Pinecastle-Company-and-GRC-Scope.md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dc:creator xmlns:dc="http://purl.org/dc/elements/1.1/">Chris Morrissey</dc:creator>
  <dcterms:created xsi:type="dcterms:W3CDTF">2026-07-27T14:00:00Z</dcterms:created>
  <dcterms:modified xsi:type="dcterms:W3CDTF">2026-08-13T20:20:00Z</dcterms:modified>
  <cp:lastModifiedBy>Chris Morrissey</cp:lastModifiedBy>
</cp:coreProperties>
</file>