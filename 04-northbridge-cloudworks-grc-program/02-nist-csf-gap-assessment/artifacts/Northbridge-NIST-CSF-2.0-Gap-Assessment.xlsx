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Dashboard" sheetId="1" state="visible" r:id="rId1"/>
    <sheet xmlns:r="http://schemas.openxmlformats.org/officeDocument/2006/relationships" name="CSF Assessment" sheetId="2" state="visible" r:id="rId2"/>
    <sheet xmlns:r="http://schemas.openxmlformats.org/officeDocument/2006/relationships" name="Roadmap" sheetId="3" state="visible" r:id="rId3"/>
    <sheet xmlns:r="http://schemas.openxmlformats.org/officeDocument/2006/relationships" name="References" sheetId="4" state="visible" r:id="rId4"/>
  </sheets>
  <definedNames>
    <definedName name="_xlnm.Print_Area" localSheetId="0">'Dashboard'!$A$1:$H$16</definedName>
    <definedName name="_xlnm.Print_Area" localSheetId="1">'CSF Assessment'!$A$1:$M$19</definedName>
    <definedName name="_xlnm.Print_Area" localSheetId="2">'Roadmap'!$A$1:$H$9</definedName>
    <definedName name="_xlnm.Print_Area" localSheetId="3">'References'!$A$1:$C$19</definedName>
  </definedNames>
</workbook>
</file>

<file path=xl/styles.xml><?xml version="1.0" encoding="utf-8"?>
<styleSheet xmlns="http://schemas.openxmlformats.org/spreadsheetml/2006/main">
  <numFmts count="1">
    <numFmt numFmtId="164" formatCode="yyyy-mm-dd"/>
  </numFmts>
  <fonts count="5">
    <font>
      <name val="Carlito"/>
      <sz val="11"/>
    </font>
    <font>
      <name val="Carlito"/>
      <color rgb="FFFFFFFF"/>
      <sz val="11"/>
    </font>
    <font>
      <name val="Carlito"/>
      <b val="1"/>
      <color rgb="FFFFFFFF"/>
      <sz val="11"/>
    </font>
    <font>
      <name val="Carlito"/>
      <b val="1"/>
      <color rgb="FFFFFFFF"/>
      <sz val="16"/>
    </font>
    <font>
      <name val="Carlito"/>
      <b val="1"/>
      <sz val="11"/>
    </font>
  </fonts>
  <fills count="4">
    <fill>
      <patternFill/>
    </fill>
    <fill>
      <patternFill patternType="gray125"/>
    </fill>
    <fill>
      <patternFill patternType="solid">
        <fgColor rgb="FF12355B"/>
      </patternFill>
    </fill>
    <fill>
      <patternFill patternType="solid">
        <fgColor rgb="FFE8F0FE"/>
      </patternFill>
    </fill>
  </fills>
  <borders count="16">
    <border/>
    <border>
      <left style="thin">
        <color rgb="FFD1D5DB"/>
      </left>
      <right style="thin">
        <color rgb="FFD1D5DB"/>
      </right>
      <top style="thin">
        <color rgb="FFD1D5DB"/>
      </top>
    </border>
    <border>
      <left style="thin">
        <color rgb="FFD1D5DB"/>
      </left>
      <right style="thin">
        <color rgb="FFD1D5DB"/>
      </right>
    </border>
    <border>
      <left style="thin">
        <color rgb="FFD1D5DB"/>
      </left>
      <right style="thin">
        <color rgb="FFD1D5DB"/>
      </right>
      <bottom style="thin">
        <color rgb="FFD1D5DB"/>
      </bottom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E5E7EB"/>
      </bottom>
    </border>
    <border>
      <right style="thin">
        <color rgb="FFD1D5DB"/>
      </right>
      <top style="thin">
        <color rgb="FFD1D5DB"/>
      </top>
      <bottom style="thin">
        <color rgb="FFE5E7EB"/>
      </bottom>
    </border>
    <border>
      <left style="thin">
        <color rgb="FFD1D5DB"/>
      </left>
      <right style="thin">
        <color rgb="FFD1D5DB"/>
      </right>
      <top style="thin">
        <color rgb="FFE5E7EB"/>
      </top>
      <bottom style="thin">
        <color rgb="FFE5E7EB"/>
      </bottom>
    </border>
    <border>
      <right style="thin">
        <color rgb="FFD1D5DB"/>
      </right>
      <top style="thin">
        <color rgb="FFE5E7EB"/>
      </top>
      <bottom style="thin">
        <color rgb="FFE5E7EB"/>
      </bottom>
    </border>
    <border>
      <left style="thin">
        <color rgb="FFD1D5DB"/>
      </left>
      <right style="thin">
        <color rgb="FFD1D5DB"/>
      </right>
      <top style="thin">
        <color rgb="FFE5E7EB"/>
      </top>
      <bottom style="thin">
        <color rgb="FFD1D5DB"/>
      </bottom>
    </border>
    <border>
      <right style="thin">
        <color rgb="FFD1D5DB"/>
      </right>
      <top style="thin">
        <color rgb="FFE5E7EB"/>
      </top>
      <bottom style="thin">
        <color rgb="FFD1D5DB"/>
      </bottom>
    </border>
    <border>
      <left style="thin">
        <color rgb="FFD1D5DB"/>
      </left>
      <top style="thin">
        <color rgb="FFD1D5DB"/>
      </top>
      <bottom style="thin">
        <color rgb="FFD1D5DB"/>
      </bottom>
    </border>
    <border>
      <top style="thin">
        <color rgb="FFD1D5DB"/>
      </top>
      <bottom style="thin">
        <color rgb="FFD1D5DB"/>
      </bottom>
    </border>
    <border>
      <right style="thin">
        <color rgb="FFD1D5DB"/>
      </right>
      <top style="thin">
        <color rgb="FFD1D5DB"/>
      </top>
      <bottom style="thin">
        <color rgb="FFD1D5DB"/>
      </bottom>
    </border>
    <border>
      <top style="thin">
        <color rgb="FFD1D5DB"/>
      </top>
      <bottom style="thin">
        <color rgb="FFE5E7EB"/>
      </bottom>
    </border>
    <border>
      <top style="thin">
        <color rgb="FFE5E7EB"/>
      </top>
      <bottom style="thin">
        <color rgb="FFE5E7EB"/>
      </bottom>
    </border>
    <border>
      <top style="thin">
        <color rgb="FFE5E7EB"/>
      </top>
      <bottom style="thin">
        <color rgb="FFD1D5DB"/>
      </bottom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3" fillId="2" borderId="0" pivotButton="0" quotePrefix="0" xfId="0"/>
    <xf numFmtId="0" fontId="3" fillId="2" borderId="0" applyAlignment="1" pivotButton="0" quotePrefix="0" xfId="0">
      <alignment horizontal="left"/>
    </xf>
    <xf numFmtId="0" fontId="0" fillId="3" borderId="0" pivotButton="0" quotePrefix="0" xfId="0"/>
    <xf numFmtId="0" fontId="4" fillId="3" borderId="0" pivotButton="0" quotePrefix="0" xfId="0"/>
    <xf numFmtId="0" fontId="4" fillId="3" borderId="1" pivotButton="0" quotePrefix="0" xfId="0"/>
    <xf numFmtId="0" fontId="4" fillId="3" borderId="2" pivotButton="0" quotePrefix="0" xfId="0"/>
    <xf numFmtId="0" fontId="4" fillId="3" borderId="3" pivotButton="0" quotePrefix="0" xfId="0"/>
    <xf numFmtId="0" fontId="4" fillId="3" borderId="1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4" fillId="3" borderId="2" applyAlignment="1" pivotButton="0" quotePrefix="0" xfId="0">
      <alignment wrapText="1"/>
    </xf>
    <xf numFmtId="0" fontId="4" fillId="3" borderId="3" applyAlignment="1" pivotButton="0" quotePrefix="0" xfId="0">
      <alignment wrapText="1"/>
    </xf>
    <xf numFmtId="0" fontId="4" fillId="3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4" fillId="3" borderId="2" applyAlignment="1" pivotButton="0" quotePrefix="0" xfId="0">
      <alignment vertical="top" wrapText="1"/>
    </xf>
    <xf numFmtId="0" fontId="4" fillId="3" borderId="3" applyAlignment="1" pivotButton="0" quotePrefix="0" xfId="0">
      <alignment vertical="top" wrapText="1"/>
    </xf>
    <xf numFmtId="0" fontId="4" fillId="3" borderId="4" applyAlignment="1" pivotButton="0" quotePrefix="0" xfId="0">
      <alignment vertical="top" wrapText="1"/>
    </xf>
    <xf numFmtId="0" fontId="0" fillId="0" borderId="5" applyAlignment="1" pivotButton="0" quotePrefix="0" xfId="0">
      <alignment vertical="top" wrapText="1"/>
    </xf>
    <xf numFmtId="0" fontId="4" fillId="3" borderId="6" applyAlignment="1" pivotButton="0" quotePrefix="0" xfId="0">
      <alignment vertical="top" wrapText="1"/>
    </xf>
    <xf numFmtId="0" fontId="0" fillId="0" borderId="7" applyAlignment="1" pivotButton="0" quotePrefix="0" xfId="0">
      <alignment vertical="top" wrapText="1"/>
    </xf>
    <xf numFmtId="0" fontId="4" fillId="3" borderId="8" applyAlignment="1" pivotButton="0" quotePrefix="0" xfId="0">
      <alignment vertical="top" wrapText="1"/>
    </xf>
    <xf numFmtId="0" fontId="0" fillId="0" borderId="9" applyAlignment="1" pivotButton="0" quotePrefix="0" xfId="0">
      <alignment vertical="top" wrapText="1"/>
    </xf>
    <xf numFmtId="164" fontId="0" fillId="0" borderId="9" applyAlignment="1" pivotButton="0" quotePrefix="0" xfId="0">
      <alignment vertical="top" wrapText="1"/>
    </xf>
    <xf numFmtId="0" fontId="2" fillId="2" borderId="0" applyAlignment="1" pivotButton="0" quotePrefix="0" xfId="0">
      <alignment wrapText="1"/>
    </xf>
    <xf numFmtId="0" fontId="2" fillId="2" borderId="10" applyAlignment="1" pivotButton="0" quotePrefix="0" xfId="0">
      <alignment wrapText="1"/>
    </xf>
    <xf numFmtId="0" fontId="2" fillId="2" borderId="11" applyAlignment="1" pivotButton="0" quotePrefix="0" xfId="0">
      <alignment wrapText="1"/>
    </xf>
    <xf numFmtId="0" fontId="2" fillId="2" borderId="12" applyAlignment="1" pivotButton="0" quotePrefix="0" xfId="0">
      <alignment wrapText="1"/>
    </xf>
    <xf numFmtId="0" fontId="0" fillId="0" borderId="13" applyAlignment="1" pivotButton="0" quotePrefix="0" xfId="0">
      <alignment vertical="top" wrapText="1"/>
    </xf>
    <xf numFmtId="0" fontId="0" fillId="0" borderId="14" applyAlignment="1" pivotButton="0" quotePrefix="0" xfId="0">
      <alignment vertical="top" wrapText="1"/>
    </xf>
    <xf numFmtId="0" fontId="0" fillId="0" borderId="15" applyAlignment="1" pivotButton="0" quotePrefix="0" xfId="0">
      <alignment vertical="top" wrapText="1"/>
    </xf>
    <xf numFmtId="164" fontId="0" fillId="0" borderId="9" applyAlignment="1" pivotButton="0" quotePrefix="0" xfId="0">
      <alignment vertical="top" wrapText="1"/>
    </xf>
  </cellXfs>
  <cellStyles count="1">
    <cellStyle name="Normal" xfId="0"/>
  </cellStyles>
  <dxfs count="20">
    <dxf>
      <font>
        <b val="1"/>
        <color rgb="FFB91C1C"/>
      </font>
    </dxf>
    <dxf>
      <font>
        <b val="1"/>
        <color rgb="FF9A3412"/>
      </font>
    </dxf>
    <dxf>
      <font>
        <b val="1"/>
        <color rgb="FF92400E"/>
      </font>
    </dxf>
    <dxf>
      <font>
        <b val="1"/>
        <color rgb="FF166534"/>
      </font>
    </dxf>
    <dxf>
      <font>
        <b val="1"/>
        <color rgb="FFB91C1C"/>
      </font>
    </dxf>
    <dxf>
      <font>
        <b val="1"/>
        <color rgb="FF9A3412"/>
      </font>
    </dxf>
    <dxf>
      <font>
        <b val="1"/>
        <color rgb="FF92400E"/>
      </font>
    </dxf>
    <dxf>
      <font>
        <b val="1"/>
        <color rgb="FF166534"/>
      </font>
    </dxf>
    <dxf>
      <font>
        <b val="1"/>
        <color rgb="FFB91C1C"/>
      </font>
    </dxf>
    <dxf>
      <font>
        <b val="1"/>
        <color rgb="FF9A3412"/>
      </font>
    </dxf>
    <dxf>
      <font>
        <b val="1"/>
        <color rgb="FF92400E"/>
      </font>
    </dxf>
    <dxf>
      <font>
        <b val="1"/>
        <color rgb="FF166534"/>
      </font>
    </dxf>
    <dxf>
      <font>
        <b val="1"/>
        <color rgb="FFB91C1C"/>
      </font>
    </dxf>
    <dxf>
      <font>
        <b val="1"/>
        <color rgb="FF9A3412"/>
      </font>
    </dxf>
    <dxf>
      <font>
        <b val="1"/>
        <color rgb="FF92400E"/>
      </font>
    </dxf>
    <dxf>
      <font>
        <b val="1"/>
        <color rgb="FF166534"/>
      </font>
    </dxf>
    <dxf>
      <font>
        <b val="1"/>
        <color rgb="FFB91C1C"/>
      </font>
    </dxf>
    <dxf>
      <font>
        <b val="1"/>
        <color rgb="FF9A3412"/>
      </font>
    </dxf>
    <dxf>
      <font>
        <b val="1"/>
        <color rgb="FF92400E"/>
      </font>
    </dxf>
    <dxf>
      <font>
        <b val="1"/>
        <color rgb="FF166534"/>
      </font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16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8" customWidth="1" min="3" max="3"/>
    <col width="18" customWidth="1" min="4" max="4"/>
    <col width="44" customWidth="1" min="5" max="5"/>
    <col width="22" customWidth="1" min="6" max="6"/>
    <col width="14" customWidth="1" min="7" max="7"/>
    <col width="18" customWidth="1" min="8" max="8"/>
  </cols>
  <sheetData>
    <row r="1">
      <c r="A1" s="5" t="inlineStr">
        <is>
          <t>Northbridge - NIST CSF 2.0 Gap Assessment</t>
        </is>
      </c>
    </row>
    <row r="3">
      <c r="A3" s="19" t="inlineStr">
        <is>
          <t>Assessed Outcomes</t>
        </is>
      </c>
      <c r="B3" s="20">
        <f>COUNTA('CSF Assessment'!A2:A19)</f>
        <v/>
      </c>
      <c r="D3" s="27" t="inlineStr">
        <is>
          <t>CSF Function</t>
        </is>
      </c>
      <c r="E3" s="28" t="inlineStr">
        <is>
          <t>Outcomes</t>
        </is>
      </c>
      <c r="F3" s="28" t="inlineStr">
        <is>
          <t>High Priority</t>
        </is>
      </c>
      <c r="G3" s="28" t="inlineStr">
        <is>
          <t>Main Theme</t>
        </is>
      </c>
      <c r="H3" s="29" t="inlineStr">
        <is>
          <t>Near-Term Focus</t>
        </is>
      </c>
    </row>
    <row r="4">
      <c r="A4" s="21" t="inlineStr">
        <is>
          <t>Implemented</t>
        </is>
      </c>
      <c r="B4" s="22">
        <f>COUNTIF('CSF Assessment'!D2:D19,"Implemented")</f>
        <v/>
      </c>
      <c r="D4" s="30" t="inlineStr">
        <is>
          <t>GOVERN</t>
        </is>
      </c>
      <c r="E4" s="30">
        <f>COUNTIF('CSF Assessment'!B2:B19,"GOVERN")</f>
        <v/>
      </c>
      <c r="F4" s="30">
        <f>COUNTIFS('CSF Assessment'!B2:B19,"GOVERN",'CSF Assessment'!K2:K19,"High")</f>
        <v/>
      </c>
      <c r="G4" s="30" t="inlineStr">
        <is>
          <t>Accountability, risk appetite, vendor oversight</t>
        </is>
      </c>
      <c r="H4" s="30" t="inlineStr">
        <is>
          <t>Quarterly risk review</t>
        </is>
      </c>
    </row>
    <row r="5">
      <c r="A5" s="21" t="inlineStr">
        <is>
          <t>Partially Implemented</t>
        </is>
      </c>
      <c r="B5" s="22">
        <f>COUNTIF('CSF Assessment'!D2:D19,"Partially Implemented")</f>
        <v/>
      </c>
      <c r="D5" s="31" t="inlineStr">
        <is>
          <t>IDENTIFY</t>
        </is>
      </c>
      <c r="E5" s="31">
        <f>COUNTIF('CSF Assessment'!B2:B19,"IDENTIFY")</f>
        <v/>
      </c>
      <c r="F5" s="31">
        <f>COUNTIFS('CSF Assessment'!B2:B19,"IDENTIFY",'CSF Assessment'!K2:K19,"High")</f>
        <v/>
      </c>
      <c r="G5" s="31" t="inlineStr">
        <is>
          <t>Assets, vulnerabilities, improvement tracking</t>
        </is>
      </c>
      <c r="H5" s="31" t="inlineStr">
        <is>
          <t>Inventory and SLA governance</t>
        </is>
      </c>
    </row>
    <row r="6">
      <c r="A6" s="21" t="inlineStr">
        <is>
          <t>Not Implemented</t>
        </is>
      </c>
      <c r="B6" s="22">
        <f>COUNTIF('CSF Assessment'!D2:D19,"Not Implemented")</f>
        <v/>
      </c>
      <c r="D6" s="31" t="inlineStr">
        <is>
          <t>PROTECT</t>
        </is>
      </c>
      <c r="E6" s="31">
        <f>COUNTIF('CSF Assessment'!B2:B19,"PROTECT")</f>
        <v/>
      </c>
      <c r="F6" s="31">
        <f>COUNTIFS('CSF Assessment'!B2:B19,"PROTECT",'CSF Assessment'!K2:K19,"High")</f>
        <v/>
      </c>
      <c r="G6" s="31" t="inlineStr">
        <is>
          <t>Access, training, configuration, data protection</t>
        </is>
      </c>
      <c r="H6" s="31" t="inlineStr">
        <is>
          <t>Privileged MFA and baselines</t>
        </is>
      </c>
    </row>
    <row r="7">
      <c r="A7" s="21" t="inlineStr">
        <is>
          <t>High Priority Gaps</t>
        </is>
      </c>
      <c r="B7" s="22">
        <f>COUNTIF('CSF Assessment'!K2:K19,"High")</f>
        <v/>
      </c>
      <c r="D7" s="31" t="inlineStr">
        <is>
          <t>DETECT</t>
        </is>
      </c>
      <c r="E7" s="31">
        <f>COUNTIF('CSF Assessment'!B2:B19,"DETECT")</f>
        <v/>
      </c>
      <c r="F7" s="31">
        <f>COUNTIFS('CSF Assessment'!B2:B19,"DETECT",'CSF Assessment'!K2:K19,"High")</f>
        <v/>
      </c>
      <c r="G7" s="31" t="inlineStr">
        <is>
          <t>Logging, alert ownership, triage</t>
        </is>
      </c>
      <c r="H7" s="31" t="inlineStr">
        <is>
          <t>Log and alert ownership</t>
        </is>
      </c>
    </row>
    <row r="8">
      <c r="A8" s="23" t="inlineStr">
        <is>
          <t>Assessment Date</t>
        </is>
      </c>
      <c r="B8" s="33" t="n">
        <v>46253</v>
      </c>
      <c r="D8" s="31" t="inlineStr">
        <is>
          <t>RESPOND</t>
        </is>
      </c>
      <c r="E8" s="31">
        <f>COUNTIF('CSF Assessment'!B2:B19,"RESPOND")</f>
        <v/>
      </c>
      <c r="F8" s="31">
        <f>COUNTIFS('CSF Assessment'!B2:B19,"RESPOND",'CSF Assessment'!K2:K19,"High")</f>
        <v/>
      </c>
      <c r="G8" s="31" t="inlineStr">
        <is>
          <t>IR plan, communications, tabletop</t>
        </is>
      </c>
      <c r="H8" s="31" t="inlineStr">
        <is>
          <t>Tabletop exercise</t>
        </is>
      </c>
    </row>
    <row r="9">
      <c r="D9" s="32" t="inlineStr">
        <is>
          <t>RECOVER</t>
        </is>
      </c>
      <c r="E9" s="32">
        <f>COUNTIF('CSF Assessment'!B2:B19,"RECOVER")</f>
        <v/>
      </c>
      <c r="F9" s="32">
        <f>COUNTIFS('CSF Assessment'!B2:B19,"RECOVER",'CSF Assessment'!K2:K19,"High")</f>
        <v/>
      </c>
      <c r="G9" s="32" t="inlineStr">
        <is>
          <t>Backup restoration, DR, customer communications</t>
        </is>
      </c>
      <c r="H9" s="32" t="inlineStr">
        <is>
          <t>Restore testing</t>
        </is>
      </c>
    </row>
    <row r="11">
      <c r="A11" s="27" t="inlineStr">
        <is>
          <t>Highest Priority Gaps</t>
        </is>
      </c>
      <c r="B11" s="28" t="inlineStr">
        <is>
          <t>Function</t>
        </is>
      </c>
      <c r="C11" s="28" t="inlineStr">
        <is>
          <t>Status</t>
        </is>
      </c>
      <c r="D11" s="28" t="inlineStr">
        <is>
          <t>Risk</t>
        </is>
      </c>
      <c r="E11" s="28" t="inlineStr">
        <is>
          <t>Recommendation</t>
        </is>
      </c>
      <c r="F11" s="28" t="inlineStr">
        <is>
          <t>Owner</t>
        </is>
      </c>
      <c r="G11" s="28" t="inlineStr">
        <is>
          <t>Priority</t>
        </is>
      </c>
      <c r="H11" s="29" t="inlineStr">
        <is>
          <t>Roadmap</t>
        </is>
      </c>
    </row>
    <row r="12">
      <c r="A12" s="30" t="inlineStr">
        <is>
          <t>GV.OC-01</t>
        </is>
      </c>
      <c r="B12" s="30" t="inlineStr">
        <is>
          <t>GOVERN</t>
        </is>
      </c>
      <c r="C12" s="30" t="inlineStr">
        <is>
          <t>Partially Implemented</t>
        </is>
      </c>
      <c r="D12" s="30" t="inlineStr">
        <is>
          <t>Medium</t>
        </is>
      </c>
      <c r="E12" s="30" t="inlineStr">
        <is>
          <t>Create annual security strategy review tied to business goals</t>
        </is>
      </c>
      <c r="F12" s="30" t="inlineStr">
        <is>
          <t>CISO</t>
        </is>
      </c>
      <c r="G12" s="30" t="inlineStr">
        <is>
          <t>High</t>
        </is>
      </c>
      <c r="H12" s="30" t="inlineStr">
        <is>
          <t>0-30 days</t>
        </is>
      </c>
    </row>
    <row r="13">
      <c r="A13" s="31" t="inlineStr">
        <is>
          <t>GV.RM-01</t>
        </is>
      </c>
      <c r="B13" s="31" t="inlineStr">
        <is>
          <t>GOVERN</t>
        </is>
      </c>
      <c r="C13" s="31" t="inlineStr">
        <is>
          <t>Partially Implemented</t>
        </is>
      </c>
      <c r="D13" s="31" t="inlineStr">
        <is>
          <t>High</t>
        </is>
      </c>
      <c r="E13" s="31" t="inlineStr">
        <is>
          <t>Define risk appetite and escalation thresholds</t>
        </is>
      </c>
      <c r="F13" s="31" t="inlineStr">
        <is>
          <t>CISO / CFO</t>
        </is>
      </c>
      <c r="G13" s="31" t="inlineStr">
        <is>
          <t>High</t>
        </is>
      </c>
      <c r="H13" s="31" t="inlineStr">
        <is>
          <t>31-90 days</t>
        </is>
      </c>
    </row>
    <row r="14">
      <c r="A14" s="31" t="inlineStr">
        <is>
          <t>GV.RR-02</t>
        </is>
      </c>
      <c r="B14" s="31" t="inlineStr">
        <is>
          <t>GOVERN</t>
        </is>
      </c>
      <c r="C14" s="31" t="inlineStr">
        <is>
          <t>Partially Implemented</t>
        </is>
      </c>
      <c r="D14" s="31" t="inlineStr">
        <is>
          <t>Medium</t>
        </is>
      </c>
      <c r="E14" s="31" t="inlineStr">
        <is>
          <t>Create control-owner matrix</t>
        </is>
      </c>
      <c r="F14" s="31" t="inlineStr">
        <is>
          <t>GRC Lead</t>
        </is>
      </c>
      <c r="G14" s="31" t="inlineStr">
        <is>
          <t>High</t>
        </is>
      </c>
      <c r="H14" s="31" t="inlineStr">
        <is>
          <t>31-90 days</t>
        </is>
      </c>
    </row>
    <row r="15">
      <c r="A15" s="31" t="inlineStr">
        <is>
          <t>GV.SC-04</t>
        </is>
      </c>
      <c r="B15" s="31" t="inlineStr">
        <is>
          <t>GOVERN</t>
        </is>
      </c>
      <c r="C15" s="31" t="inlineStr">
        <is>
          <t>Partially Implemented</t>
        </is>
      </c>
      <c r="D15" s="31" t="inlineStr">
        <is>
          <t>High</t>
        </is>
      </c>
      <c r="E15" s="31" t="inlineStr">
        <is>
          <t>Implement vendor tiering and annual critical vendor assessment</t>
        </is>
      </c>
      <c r="F15" s="31" t="inlineStr">
        <is>
          <t>Procurement / GRC</t>
        </is>
      </c>
      <c r="G15" s="31" t="inlineStr">
        <is>
          <t>High</t>
        </is>
      </c>
      <c r="H15" s="31" t="inlineStr">
        <is>
          <t>31-90 days</t>
        </is>
      </c>
    </row>
    <row r="16">
      <c r="A16" s="32" t="inlineStr">
        <is>
          <t>ID.AM-01</t>
        </is>
      </c>
      <c r="B16" s="32" t="inlineStr">
        <is>
          <t>IDENTIFY</t>
        </is>
      </c>
      <c r="C16" s="32" t="inlineStr">
        <is>
          <t>Partially Implemented</t>
        </is>
      </c>
      <c r="D16" s="32" t="inlineStr">
        <is>
          <t>High</t>
        </is>
      </c>
      <c r="E16" s="32" t="inlineStr">
        <is>
          <t>Assign owners and reconcile assets monthly</t>
        </is>
      </c>
      <c r="F16" s="32" t="inlineStr">
        <is>
          <t>IT Operations</t>
        </is>
      </c>
      <c r="G16" s="32" t="inlineStr">
        <is>
          <t>High</t>
        </is>
      </c>
      <c r="H16" s="32" t="inlineStr">
        <is>
          <t>31-90 days</t>
        </is>
      </c>
    </row>
  </sheetData>
  <mergeCells count="1">
    <mergeCell ref="A1:H1"/>
  </mergeCells>
  <conditionalFormatting sqref="D12:D16">
    <cfRule type="containsText" priority="1" operator="containsText" dxfId="0" text="Critical"/>
    <cfRule type="containsText" priority="2" operator="containsText" dxfId="1" text="High"/>
    <cfRule type="containsText" priority="3" operator="containsText" dxfId="2" text="Medium"/>
    <cfRule type="containsText" priority="4" operator="containsText" dxfId="3" text="Low"/>
  </conditionalFormatting>
  <conditionalFormatting sqref="G12:G16">
    <cfRule type="containsText" priority="5" operator="containsText" dxfId="0" text="Critical"/>
    <cfRule type="containsText" priority="6" operator="containsText" dxfId="1" text="High"/>
    <cfRule type="containsText" priority="7" operator="containsText" dxfId="2" text="Medium"/>
    <cfRule type="containsText" priority="8" operator="containsText" dxfId="3" text="Low"/>
  </conditionalFormatting>
  <pageMargins left="0.25" right="0.25" top="0.35" bottom="0.35" header="0.15" footer="0.15"/>
  <pageSetup orientation="landscape" paperSize="1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M19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38" customWidth="1" min="3" max="3"/>
    <col width="22" customWidth="1" min="4" max="4"/>
    <col width="42" customWidth="1" min="5" max="5"/>
    <col width="48" customWidth="1" min="6" max="6"/>
    <col width="42" customWidth="1" min="7" max="7"/>
    <col width="16" customWidth="1" min="8" max="8"/>
    <col width="48" customWidth="1" min="9" max="9"/>
    <col width="24" customWidth="1" min="10" max="10"/>
    <col width="14" customWidth="1" min="11" max="11"/>
    <col width="18" customWidth="1" min="12" max="12"/>
    <col width="36" customWidth="1" min="13" max="13"/>
  </cols>
  <sheetData>
    <row r="1">
      <c r="A1" s="27" t="inlineStr">
        <is>
          <t>CSF ID</t>
        </is>
      </c>
      <c r="B1" s="28" t="inlineStr">
        <is>
          <t>Function</t>
        </is>
      </c>
      <c r="C1" s="28" t="inlineStr">
        <is>
          <t>Outcome</t>
        </is>
      </c>
      <c r="D1" s="28" t="inlineStr">
        <is>
          <t>Current Status</t>
        </is>
      </c>
      <c r="E1" s="28" t="inlineStr">
        <is>
          <t>Current Evidence</t>
        </is>
      </c>
      <c r="F1" s="28" t="inlineStr">
        <is>
          <t>Target State</t>
        </is>
      </c>
      <c r="G1" s="28" t="inlineStr">
        <is>
          <t>Gap</t>
        </is>
      </c>
      <c r="H1" s="28" t="inlineStr">
        <is>
          <t>Business Risk</t>
        </is>
      </c>
      <c r="I1" s="28" t="inlineStr">
        <is>
          <t>Recommendation</t>
        </is>
      </c>
      <c r="J1" s="28" t="inlineStr">
        <is>
          <t>Owner</t>
        </is>
      </c>
      <c r="K1" s="28" t="inlineStr">
        <is>
          <t>Priority</t>
        </is>
      </c>
      <c r="L1" s="28" t="inlineStr">
        <is>
          <t>Roadmap Phase</t>
        </is>
      </c>
      <c r="M1" s="29" t="inlineStr">
        <is>
          <t>Framework References</t>
        </is>
      </c>
    </row>
    <row r="2">
      <c r="A2" s="30" t="inlineStr">
        <is>
          <t>GV.OC-01</t>
        </is>
      </c>
      <c r="B2" s="30" t="inlineStr">
        <is>
          <t>GOVERN</t>
        </is>
      </c>
      <c r="C2" s="30" t="inlineStr">
        <is>
          <t>Organizational context and mission understood</t>
        </is>
      </c>
      <c r="D2" s="30" t="inlineStr">
        <is>
          <t>Partially Implemented</t>
        </is>
      </c>
      <c r="E2" s="30" t="inlineStr">
        <is>
          <t>Company profile exists; customer obligations known</t>
        </is>
      </c>
      <c r="F2" s="30" t="inlineStr">
        <is>
          <t>Documented business context, security objectives, and customer commitments reviewed annually</t>
        </is>
      </c>
      <c r="G2" s="30" t="inlineStr">
        <is>
          <t>Security objectives not formally reviewed with leadership</t>
        </is>
      </c>
      <c r="H2" s="30" t="inlineStr">
        <is>
          <t>Medium</t>
        </is>
      </c>
      <c r="I2" s="30" t="inlineStr">
        <is>
          <t>Create annual security strategy review tied to business goals</t>
        </is>
      </c>
      <c r="J2" s="30" t="inlineStr">
        <is>
          <t>CISO</t>
        </is>
      </c>
      <c r="K2" s="30" t="inlineStr">
        <is>
          <t>High</t>
        </is>
      </c>
      <c r="L2" s="30" t="inlineStr">
        <is>
          <t>0-30 days</t>
        </is>
      </c>
      <c r="M2" s="30" t="inlineStr">
        <is>
          <t>NIST SP 1308; ISO 27001 Clause 4</t>
        </is>
      </c>
    </row>
    <row r="3">
      <c r="A3" s="31" t="inlineStr">
        <is>
          <t>GV.RM-01</t>
        </is>
      </c>
      <c r="B3" s="31" t="inlineStr">
        <is>
          <t>GOVERN</t>
        </is>
      </c>
      <c r="C3" s="31" t="inlineStr">
        <is>
          <t>Risk management objectives established</t>
        </is>
      </c>
      <c r="D3" s="31" t="inlineStr">
        <is>
          <t>Partially Implemented</t>
        </is>
      </c>
      <c r="E3" s="31" t="inlineStr">
        <is>
          <t>Risk register created in Project 1</t>
        </is>
      </c>
      <c r="F3" s="31" t="inlineStr">
        <is>
          <t>Approved cyber risk appetite/tolerance and escalation criteria</t>
        </is>
      </c>
      <c r="G3" s="31" t="inlineStr">
        <is>
          <t>Risk appetite not formally approved</t>
        </is>
      </c>
      <c r="H3" s="31" t="inlineStr">
        <is>
          <t>High</t>
        </is>
      </c>
      <c r="I3" s="31" t="inlineStr">
        <is>
          <t>Define risk appetite and escalation thresholds</t>
        </is>
      </c>
      <c r="J3" s="31" t="inlineStr">
        <is>
          <t>CISO / CFO</t>
        </is>
      </c>
      <c r="K3" s="31" t="inlineStr">
        <is>
          <t>High</t>
        </is>
      </c>
      <c r="L3" s="31" t="inlineStr">
        <is>
          <t>31-90 days</t>
        </is>
      </c>
      <c r="M3" s="31" t="inlineStr">
        <is>
          <t>NIST IR 8286 Rev. 1</t>
        </is>
      </c>
    </row>
    <row r="4">
      <c r="A4" s="31" t="inlineStr">
        <is>
          <t>GV.RR-02</t>
        </is>
      </c>
      <c r="B4" s="31" t="inlineStr">
        <is>
          <t>GOVERN</t>
        </is>
      </c>
      <c r="C4" s="31" t="inlineStr">
        <is>
          <t>Cybersecurity roles and responsibilities assigned</t>
        </is>
      </c>
      <c r="D4" s="31" t="inlineStr">
        <is>
          <t>Partially Implemented</t>
        </is>
      </c>
      <c r="E4" s="31" t="inlineStr">
        <is>
          <t>Owners listed in risk register</t>
        </is>
      </c>
      <c r="F4" s="31" t="inlineStr">
        <is>
          <t>Named control owners and backup owners for key domains</t>
        </is>
      </c>
      <c r="G4" s="31" t="inlineStr">
        <is>
          <t>Ownership not complete for every key control</t>
        </is>
      </c>
      <c r="H4" s="31" t="inlineStr">
        <is>
          <t>Medium</t>
        </is>
      </c>
      <c r="I4" s="31" t="inlineStr">
        <is>
          <t>Create control-owner matrix</t>
        </is>
      </c>
      <c r="J4" s="31" t="inlineStr">
        <is>
          <t>GRC Lead</t>
        </is>
      </c>
      <c r="K4" s="31" t="inlineStr">
        <is>
          <t>High</t>
        </is>
      </c>
      <c r="L4" s="31" t="inlineStr">
        <is>
          <t>31-90 days</t>
        </is>
      </c>
      <c r="M4" s="31" t="inlineStr">
        <is>
          <t>ISO 27001 Clause 5</t>
        </is>
      </c>
    </row>
    <row r="5">
      <c r="A5" s="31" t="inlineStr">
        <is>
          <t>GV.PO-01</t>
        </is>
      </c>
      <c r="B5" s="31" t="inlineStr">
        <is>
          <t>GOVERN</t>
        </is>
      </c>
      <c r="C5" s="31" t="inlineStr">
        <is>
          <t>Cybersecurity policies established</t>
        </is>
      </c>
      <c r="D5" s="31" t="inlineStr">
        <is>
          <t>Partially Implemented</t>
        </is>
      </c>
      <c r="E5" s="31" t="inlineStr">
        <is>
          <t>Policy set exists</t>
        </is>
      </c>
      <c r="F5" s="31" t="inlineStr">
        <is>
          <t>Policies approved, reviewed annually, and mapped to controls</t>
        </is>
      </c>
      <c r="G5" s="31" t="inlineStr">
        <is>
          <t>Policy review cadence inconsistent</t>
        </is>
      </c>
      <c r="H5" s="31" t="inlineStr">
        <is>
          <t>Medium</t>
        </is>
      </c>
      <c r="I5" s="31" t="inlineStr">
        <is>
          <t>Approve annual policy review calendar</t>
        </is>
      </c>
      <c r="J5" s="31" t="inlineStr">
        <is>
          <t>GRC Lead</t>
        </is>
      </c>
      <c r="K5" s="31" t="inlineStr">
        <is>
          <t>Medium</t>
        </is>
      </c>
      <c r="L5" s="31" t="inlineStr">
        <is>
          <t>0-30 days</t>
        </is>
      </c>
      <c r="M5" s="31" t="inlineStr">
        <is>
          <t>ISO 27001 Clause 5; SOC 2 CC1</t>
        </is>
      </c>
    </row>
    <row r="6">
      <c r="A6" s="31" t="inlineStr">
        <is>
          <t>GV.SC-04</t>
        </is>
      </c>
      <c r="B6" s="31" t="inlineStr">
        <is>
          <t>GOVERN</t>
        </is>
      </c>
      <c r="C6" s="31" t="inlineStr">
        <is>
          <t>Supplier risk managed</t>
        </is>
      </c>
      <c r="D6" s="31" t="inlineStr">
        <is>
          <t>Partially Implemented</t>
        </is>
      </c>
      <c r="E6" s="31" t="inlineStr">
        <is>
          <t>Vendor list exists</t>
        </is>
      </c>
      <c r="F6" s="31" t="inlineStr">
        <is>
          <t>Risk-tiered vendor program with annual critical vendor reviews</t>
        </is>
      </c>
      <c r="G6" s="31" t="inlineStr">
        <is>
          <t>Critical vendor tiering incomplete</t>
        </is>
      </c>
      <c r="H6" s="31" t="inlineStr">
        <is>
          <t>High</t>
        </is>
      </c>
      <c r="I6" s="31" t="inlineStr">
        <is>
          <t>Implement vendor tiering and annual critical vendor assessment</t>
        </is>
      </c>
      <c r="J6" s="31" t="inlineStr">
        <is>
          <t>Procurement / GRC</t>
        </is>
      </c>
      <c r="K6" s="31" t="inlineStr">
        <is>
          <t>High</t>
        </is>
      </c>
      <c r="L6" s="31" t="inlineStr">
        <is>
          <t>31-90 days</t>
        </is>
      </c>
      <c r="M6" s="31" t="inlineStr">
        <is>
          <t>NIST SP 800-161 Rev. 1 Update 1; CIS 15</t>
        </is>
      </c>
    </row>
    <row r="7">
      <c r="A7" s="31" t="inlineStr">
        <is>
          <t>ID.AM-01</t>
        </is>
      </c>
      <c r="B7" s="31" t="inlineStr">
        <is>
          <t>IDENTIFY</t>
        </is>
      </c>
      <c r="C7" s="31" t="inlineStr">
        <is>
          <t>Assets inventoried</t>
        </is>
      </c>
      <c r="D7" s="31" t="inlineStr">
        <is>
          <t>Partially Implemented</t>
        </is>
      </c>
      <c r="E7" s="31" t="inlineStr">
        <is>
          <t>Cloud and SaaS systems known</t>
        </is>
      </c>
      <c r="F7" s="31" t="inlineStr">
        <is>
          <t>Authoritative asset inventory with owner and criticality</t>
        </is>
      </c>
      <c r="G7" s="31" t="inlineStr">
        <is>
          <t>Inventory not consistently owned or reconciled</t>
        </is>
      </c>
      <c r="H7" s="31" t="inlineStr">
        <is>
          <t>High</t>
        </is>
      </c>
      <c r="I7" s="31" t="inlineStr">
        <is>
          <t>Assign owners and reconcile assets monthly</t>
        </is>
      </c>
      <c r="J7" s="31" t="inlineStr">
        <is>
          <t>IT Operations</t>
        </is>
      </c>
      <c r="K7" s="31" t="inlineStr">
        <is>
          <t>High</t>
        </is>
      </c>
      <c r="L7" s="31" t="inlineStr">
        <is>
          <t>31-90 days</t>
        </is>
      </c>
      <c r="M7" s="31" t="inlineStr">
        <is>
          <t>CIS 1, CIS 2</t>
        </is>
      </c>
    </row>
    <row r="8">
      <c r="A8" s="31" t="inlineStr">
        <is>
          <t>ID.RA-01</t>
        </is>
      </c>
      <c r="B8" s="31" t="inlineStr">
        <is>
          <t>IDENTIFY</t>
        </is>
      </c>
      <c r="C8" s="31" t="inlineStr">
        <is>
          <t>Vulnerabilities identified and documented</t>
        </is>
      </c>
      <c r="D8" s="31" t="inlineStr">
        <is>
          <t>Partially Implemented</t>
        </is>
      </c>
      <c r="E8" s="31" t="inlineStr">
        <is>
          <t>Scanning occurs</t>
        </is>
      </c>
      <c r="F8" s="31" t="inlineStr">
        <is>
          <t>Vulnerability findings tracked to SLA with exception workflow</t>
        </is>
      </c>
      <c r="G8" s="31" t="inlineStr">
        <is>
          <t>SLA evidence inconsistent</t>
        </is>
      </c>
      <c r="H8" s="31" t="inlineStr">
        <is>
          <t>High</t>
        </is>
      </c>
      <c r="I8" s="31" t="inlineStr">
        <is>
          <t>Adopt remediation SLA and exception process</t>
        </is>
      </c>
      <c r="J8" s="31" t="inlineStr">
        <is>
          <t>Security Engineer</t>
        </is>
      </c>
      <c r="K8" s="31" t="inlineStr">
        <is>
          <t>High</t>
        </is>
      </c>
      <c r="L8" s="31" t="inlineStr">
        <is>
          <t>31-90 days</t>
        </is>
      </c>
      <c r="M8" s="31" t="inlineStr">
        <is>
          <t>NIST 800-53 RA-5; CIS 7</t>
        </is>
      </c>
    </row>
    <row r="9">
      <c r="A9" s="31" t="inlineStr">
        <is>
          <t>ID.IM-02</t>
        </is>
      </c>
      <c r="B9" s="31" t="inlineStr">
        <is>
          <t>IDENTIFY</t>
        </is>
      </c>
      <c r="C9" s="31" t="inlineStr">
        <is>
          <t>Improvements identified from assessments</t>
        </is>
      </c>
      <c r="D9" s="31" t="inlineStr">
        <is>
          <t>Partially Implemented</t>
        </is>
      </c>
      <c r="E9" s="31" t="inlineStr">
        <is>
          <t>Project risk assessment and CSF assessment exist</t>
        </is>
      </c>
      <c r="F9" s="31" t="inlineStr">
        <is>
          <t>Assessment findings tracked through closure</t>
        </is>
      </c>
      <c r="G9" s="31" t="inlineStr">
        <is>
          <t>No standing governance cadence for findings</t>
        </is>
      </c>
      <c r="H9" s="31" t="inlineStr">
        <is>
          <t>Medium</t>
        </is>
      </c>
      <c r="I9" s="31" t="inlineStr">
        <is>
          <t>Create monthly remediation review</t>
        </is>
      </c>
      <c r="J9" s="31" t="inlineStr">
        <is>
          <t>GRC Lead</t>
        </is>
      </c>
      <c r="K9" s="31" t="inlineStr">
        <is>
          <t>Medium</t>
        </is>
      </c>
      <c r="L9" s="31" t="inlineStr">
        <is>
          <t>31-90 days</t>
        </is>
      </c>
      <c r="M9" s="31" t="inlineStr">
        <is>
          <t>NIST IR 8286C Rev. 1</t>
        </is>
      </c>
    </row>
    <row r="10">
      <c r="A10" s="31" t="inlineStr">
        <is>
          <t>PR.AA-01</t>
        </is>
      </c>
      <c r="B10" s="31" t="inlineStr">
        <is>
          <t>PROTECT</t>
        </is>
      </c>
      <c r="C10" s="31" t="inlineStr">
        <is>
          <t>Identities and credentials managed</t>
        </is>
      </c>
      <c r="D10" s="31" t="inlineStr">
        <is>
          <t>Partially Implemented</t>
        </is>
      </c>
      <c r="E10" s="31" t="inlineStr">
        <is>
          <t>SSO and MFA enabled</t>
        </is>
      </c>
      <c r="F10" s="31" t="inlineStr">
        <is>
          <t>Centralized identity lifecycle with enforced MFA and reviewed exceptions</t>
        </is>
      </c>
      <c r="G10" s="31" t="inlineStr">
        <is>
          <t>Privileged MFA exceptions and reviews need improvement</t>
        </is>
      </c>
      <c r="H10" s="31" t="inlineStr">
        <is>
          <t>High</t>
        </is>
      </c>
      <c r="I10" s="31" t="inlineStr">
        <is>
          <t>Enforce phishing-resistant MFA for admins and quarterly access reviews</t>
        </is>
      </c>
      <c r="J10" s="31" t="inlineStr">
        <is>
          <t>VP of IT</t>
        </is>
      </c>
      <c r="K10" s="31" t="inlineStr">
        <is>
          <t>High</t>
        </is>
      </c>
      <c r="L10" s="31" t="inlineStr">
        <is>
          <t>0-30 days</t>
        </is>
      </c>
      <c r="M10" s="31" t="inlineStr">
        <is>
          <t>NIST 800-53 IA-2; CIS 6</t>
        </is>
      </c>
    </row>
    <row r="11">
      <c r="A11" s="31" t="inlineStr">
        <is>
          <t>PR.AT-01</t>
        </is>
      </c>
      <c r="B11" s="31" t="inlineStr">
        <is>
          <t>PROTECT</t>
        </is>
      </c>
      <c r="C11" s="31" t="inlineStr">
        <is>
          <t>Personnel receive security awareness</t>
        </is>
      </c>
      <c r="D11" s="31" t="inlineStr">
        <is>
          <t>Partially Implemented</t>
        </is>
      </c>
      <c r="E11" s="31" t="inlineStr">
        <is>
          <t>Annual training exists</t>
        </is>
      </c>
      <c r="F11" s="31" t="inlineStr">
        <is>
          <t>Training completion evidenced for employees and contractors</t>
        </is>
      </c>
      <c r="G11" s="31" t="inlineStr">
        <is>
          <t>Contractor training evidence incomplete</t>
        </is>
      </c>
      <c r="H11" s="31" t="inlineStr">
        <is>
          <t>Medium</t>
        </is>
      </c>
      <c r="I11" s="31" t="inlineStr">
        <is>
          <t>Expand training tracker to contractors</t>
        </is>
      </c>
      <c r="J11" s="31" t="inlineStr">
        <is>
          <t>People Operations</t>
        </is>
      </c>
      <c r="K11" s="31" t="inlineStr">
        <is>
          <t>Medium</t>
        </is>
      </c>
      <c r="L11" s="31" t="inlineStr">
        <is>
          <t>31-90 days</t>
        </is>
      </c>
      <c r="M11" s="31" t="inlineStr">
        <is>
          <t>NIST 800-53 AT-2; CIS 14</t>
        </is>
      </c>
    </row>
    <row r="12">
      <c r="A12" s="31" t="inlineStr">
        <is>
          <t>PR.DS-01</t>
        </is>
      </c>
      <c r="B12" s="31" t="inlineStr">
        <is>
          <t>PROTECT</t>
        </is>
      </c>
      <c r="C12" s="31" t="inlineStr">
        <is>
          <t>Data-at-rest protected</t>
        </is>
      </c>
      <c r="D12" s="31" t="inlineStr">
        <is>
          <t>Implemented</t>
        </is>
      </c>
      <c r="E12" s="31" t="inlineStr">
        <is>
          <t>Cloud encryption standards enabled</t>
        </is>
      </c>
      <c r="F12" s="31" t="inlineStr">
        <is>
          <t>Encryption enforced and reviewed for data stores</t>
        </is>
      </c>
      <c r="G12" s="31" t="inlineStr">
        <is>
          <t>No material gap identified for baseline encryption</t>
        </is>
      </c>
      <c r="H12" s="31" t="inlineStr">
        <is>
          <t>Low</t>
        </is>
      </c>
      <c r="I12" s="31" t="inlineStr">
        <is>
          <t>Continue periodic configuration review</t>
        </is>
      </c>
      <c r="J12" s="31" t="inlineStr">
        <is>
          <t>Cloud Engineering</t>
        </is>
      </c>
      <c r="K12" s="31" t="inlineStr">
        <is>
          <t>Low</t>
        </is>
      </c>
      <c r="L12" s="31" t="inlineStr">
        <is>
          <t>6-12 months</t>
        </is>
      </c>
      <c r="M12" s="31" t="inlineStr">
        <is>
          <t>ISO 27002; ISO 27017:2026</t>
        </is>
      </c>
    </row>
    <row r="13">
      <c r="A13" s="31" t="inlineStr">
        <is>
          <t>PR.PS-01</t>
        </is>
      </c>
      <c r="B13" s="31" t="inlineStr">
        <is>
          <t>PROTECT</t>
        </is>
      </c>
      <c r="C13" s="31" t="inlineStr">
        <is>
          <t>Configuration management practiced</t>
        </is>
      </c>
      <c r="D13" s="31" t="inlineStr">
        <is>
          <t>Partially Implemented</t>
        </is>
      </c>
      <c r="E13" s="31" t="inlineStr">
        <is>
          <t>IaC and change reviews exist</t>
        </is>
      </c>
      <c r="F13" s="31" t="inlineStr">
        <is>
          <t>Configuration baselines monitored with security exceptions tracked</t>
        </is>
      </c>
      <c r="G13" s="31" t="inlineStr">
        <is>
          <t>Cloud configuration monitoring incomplete</t>
        </is>
      </c>
      <c r="H13" s="31" t="inlineStr">
        <is>
          <t>High</t>
        </is>
      </c>
      <c r="I13" s="31" t="inlineStr">
        <is>
          <t>Implement configuration monitoring and monthly owner review</t>
        </is>
      </c>
      <c r="J13" s="31" t="inlineStr">
        <is>
          <t>Cloud Engineering</t>
        </is>
      </c>
      <c r="K13" s="31" t="inlineStr">
        <is>
          <t>High</t>
        </is>
      </c>
      <c r="L13" s="31" t="inlineStr">
        <is>
          <t>31-90 days</t>
        </is>
      </c>
      <c r="M13" s="31" t="inlineStr">
        <is>
          <t>NIST 800-53 CM-2; CIS 4</t>
        </is>
      </c>
    </row>
    <row r="14">
      <c r="A14" s="31" t="inlineStr">
        <is>
          <t>DE.CM-01</t>
        </is>
      </c>
      <c r="B14" s="31" t="inlineStr">
        <is>
          <t>DETECT</t>
        </is>
      </c>
      <c r="C14" s="31" t="inlineStr">
        <is>
          <t>Networks and services monitored</t>
        </is>
      </c>
      <c r="D14" s="31" t="inlineStr">
        <is>
          <t>Partially Implemented</t>
        </is>
      </c>
      <c r="E14" s="31" t="inlineStr">
        <is>
          <t>Cloud and SaaS logs available</t>
        </is>
      </c>
      <c r="F14" s="31" t="inlineStr">
        <is>
          <t>Critical logs mapped, retained, alerted, and owned</t>
        </is>
      </c>
      <c r="G14" s="31" t="inlineStr">
        <is>
          <t>Alert ownership and coverage not fully mapped</t>
        </is>
      </c>
      <c r="H14" s="31" t="inlineStr">
        <is>
          <t>High</t>
        </is>
      </c>
      <c r="I14" s="31" t="inlineStr">
        <is>
          <t>Map critical log sources and alert owners</t>
        </is>
      </c>
      <c r="J14" s="31" t="inlineStr">
        <is>
          <t>Security Operations</t>
        </is>
      </c>
      <c r="K14" s="31" t="inlineStr">
        <is>
          <t>High</t>
        </is>
      </c>
      <c r="L14" s="31" t="inlineStr">
        <is>
          <t>31-90 days</t>
        </is>
      </c>
      <c r="M14" s="31" t="inlineStr">
        <is>
          <t>NIST 800-53 SI-4; CIS 8</t>
        </is>
      </c>
    </row>
    <row r="15">
      <c r="A15" s="31" t="inlineStr">
        <is>
          <t>DE.AE-02</t>
        </is>
      </c>
      <c r="B15" s="31" t="inlineStr">
        <is>
          <t>DETECT</t>
        </is>
      </c>
      <c r="C15" s="31" t="inlineStr">
        <is>
          <t>Potentially adverse events analyzed</t>
        </is>
      </c>
      <c r="D15" s="31" t="inlineStr">
        <is>
          <t>Partially Implemented</t>
        </is>
      </c>
      <c r="E15" s="31" t="inlineStr">
        <is>
          <t>Some alerts reviewed</t>
        </is>
      </c>
      <c r="F15" s="31" t="inlineStr">
        <is>
          <t>Alert triage procedure with documented escalation</t>
        </is>
      </c>
      <c r="G15" s="31" t="inlineStr">
        <is>
          <t>Triage documentation inconsistent</t>
        </is>
      </c>
      <c r="H15" s="31" t="inlineStr">
        <is>
          <t>Medium</t>
        </is>
      </c>
      <c r="I15" s="31" t="inlineStr">
        <is>
          <t>Document alert triage and escalation criteria</t>
        </is>
      </c>
      <c r="J15" s="31" t="inlineStr">
        <is>
          <t>Security Operations</t>
        </is>
      </c>
      <c r="K15" s="31" t="inlineStr">
        <is>
          <t>Medium</t>
        </is>
      </c>
      <c r="L15" s="31" t="inlineStr">
        <is>
          <t>3-6 months</t>
        </is>
      </c>
      <c r="M15" s="31" t="inlineStr">
        <is>
          <t>NIST SP 800-61 Rev. 3</t>
        </is>
      </c>
    </row>
    <row r="16">
      <c r="A16" s="31" t="inlineStr">
        <is>
          <t>RS.MA-01</t>
        </is>
      </c>
      <c r="B16" s="31" t="inlineStr">
        <is>
          <t>RESPOND</t>
        </is>
      </c>
      <c r="C16" s="31" t="inlineStr">
        <is>
          <t>Incident response executed</t>
        </is>
      </c>
      <c r="D16" s="31" t="inlineStr">
        <is>
          <t>Partially Implemented</t>
        </is>
      </c>
      <c r="E16" s="31" t="inlineStr">
        <is>
          <t>IR plan exists</t>
        </is>
      </c>
      <c r="F16" s="31" t="inlineStr">
        <is>
          <t>Plan tested through tabletop with lessons learned</t>
        </is>
      </c>
      <c r="G16" s="31" t="inlineStr">
        <is>
          <t>No recent tabletop exercise</t>
        </is>
      </c>
      <c r="H16" s="31" t="inlineStr">
        <is>
          <t>High</t>
        </is>
      </c>
      <c r="I16" s="31" t="inlineStr">
        <is>
          <t>Conduct tabletop exercise and track corrective actions</t>
        </is>
      </c>
      <c r="J16" s="31" t="inlineStr">
        <is>
          <t>CISO</t>
        </is>
      </c>
      <c r="K16" s="31" t="inlineStr">
        <is>
          <t>High</t>
        </is>
      </c>
      <c r="L16" s="31" t="inlineStr">
        <is>
          <t>3-6 months</t>
        </is>
      </c>
      <c r="M16" s="31" t="inlineStr">
        <is>
          <t>NIST SP 800-61 Rev. 3; CIS 17</t>
        </is>
      </c>
    </row>
    <row r="17">
      <c r="A17" s="31" t="inlineStr">
        <is>
          <t>RS.CO-03</t>
        </is>
      </c>
      <c r="B17" s="31" t="inlineStr">
        <is>
          <t>RESPOND</t>
        </is>
      </c>
      <c r="C17" s="31" t="inlineStr">
        <is>
          <t>Information shared with stakeholders</t>
        </is>
      </c>
      <c r="D17" s="31" t="inlineStr">
        <is>
          <t>Partially Implemented</t>
        </is>
      </c>
      <c r="E17" s="31" t="inlineStr">
        <is>
          <t>Escalation contacts exist</t>
        </is>
      </c>
      <c r="F17" s="31" t="inlineStr">
        <is>
          <t>Legal, customer, executive communications playbook tested</t>
        </is>
      </c>
      <c r="G17" s="31" t="inlineStr">
        <is>
          <t>Communication playbook not exercised</t>
        </is>
      </c>
      <c r="H17" s="31" t="inlineStr">
        <is>
          <t>High</t>
        </is>
      </c>
      <c r="I17" s="31" t="inlineStr">
        <is>
          <t>Add stakeholder communications to tabletop</t>
        </is>
      </c>
      <c r="J17" s="31" t="inlineStr">
        <is>
          <t>Legal / CISO</t>
        </is>
      </c>
      <c r="K17" s="31" t="inlineStr">
        <is>
          <t>High</t>
        </is>
      </c>
      <c r="L17" s="31" t="inlineStr">
        <is>
          <t>3-6 months</t>
        </is>
      </c>
      <c r="M17" s="31" t="inlineStr">
        <is>
          <t>NIST SP 800-61 Rev. 3</t>
        </is>
      </c>
    </row>
    <row r="18">
      <c r="A18" s="31" t="inlineStr">
        <is>
          <t>RC.RP-01</t>
        </is>
      </c>
      <c r="B18" s="31" t="inlineStr">
        <is>
          <t>RECOVER</t>
        </is>
      </c>
      <c r="C18" s="31" t="inlineStr">
        <is>
          <t>Recovery plan executed</t>
        </is>
      </c>
      <c r="D18" s="31" t="inlineStr">
        <is>
          <t>Partially Implemented</t>
        </is>
      </c>
      <c r="E18" s="31" t="inlineStr">
        <is>
          <t>Backups exist</t>
        </is>
      </c>
      <c r="F18" s="31" t="inlineStr">
        <is>
          <t>Recovery tested against RTO/RPO</t>
        </is>
      </c>
      <c r="G18" s="31" t="inlineStr">
        <is>
          <t>Recovery testing evidence incomplete</t>
        </is>
      </c>
      <c r="H18" s="31" t="inlineStr">
        <is>
          <t>High</t>
        </is>
      </c>
      <c r="I18" s="31" t="inlineStr">
        <is>
          <t>Perform backup restoration and DR test</t>
        </is>
      </c>
      <c r="J18" s="31" t="inlineStr">
        <is>
          <t>Infrastructure</t>
        </is>
      </c>
      <c r="K18" s="31" t="inlineStr">
        <is>
          <t>High</t>
        </is>
      </c>
      <c r="L18" s="31" t="inlineStr">
        <is>
          <t>3-6 months</t>
        </is>
      </c>
      <c r="M18" s="31" t="inlineStr">
        <is>
          <t>NIST 800-53 CP-10; CIS 11</t>
        </is>
      </c>
    </row>
    <row r="19">
      <c r="A19" s="32" t="inlineStr">
        <is>
          <t>RC.CO-03</t>
        </is>
      </c>
      <c r="B19" s="32" t="inlineStr">
        <is>
          <t>RECOVER</t>
        </is>
      </c>
      <c r="C19" s="32" t="inlineStr">
        <is>
          <t>Recovery activities communicated</t>
        </is>
      </c>
      <c r="D19" s="32" t="inlineStr">
        <is>
          <t>Not Implemented</t>
        </is>
      </c>
      <c r="E19" s="32" t="inlineStr">
        <is>
          <t>No formal evidence</t>
        </is>
      </c>
      <c r="F19" s="32" t="inlineStr">
        <is>
          <t>Recovery communications plan for customers and executives</t>
        </is>
      </c>
      <c r="G19" s="32" t="inlineStr">
        <is>
          <t>No tested recovery communications plan</t>
        </is>
      </c>
      <c r="H19" s="32" t="inlineStr">
        <is>
          <t>Medium</t>
        </is>
      </c>
      <c r="I19" s="32" t="inlineStr">
        <is>
          <t>Create recovery communications template and exercise it</t>
        </is>
      </c>
      <c r="J19" s="32" t="inlineStr">
        <is>
          <t>Customer Operations / Legal</t>
        </is>
      </c>
      <c r="K19" s="32" t="inlineStr">
        <is>
          <t>Medium</t>
        </is>
      </c>
      <c r="L19" s="32" t="inlineStr">
        <is>
          <t>6-12 months</t>
        </is>
      </c>
      <c r="M19" s="32" t="inlineStr">
        <is>
          <t>NIST CSF 2.0 Recover</t>
        </is>
      </c>
    </row>
  </sheetData>
  <conditionalFormatting sqref="H2:H19">
    <cfRule type="containsText" priority="1" operator="containsText" dxfId="0" text="Critical"/>
    <cfRule type="containsText" priority="2" operator="containsText" dxfId="1" text="High"/>
    <cfRule type="containsText" priority="3" operator="containsText" dxfId="2" text="Medium"/>
    <cfRule type="containsText" priority="4" operator="containsText" dxfId="3" text="Low"/>
  </conditionalFormatting>
  <conditionalFormatting sqref="K2:K19">
    <cfRule type="containsText" priority="5" operator="containsText" dxfId="0" text="Critical"/>
    <cfRule type="containsText" priority="6" operator="containsText" dxfId="1" text="High"/>
    <cfRule type="containsText" priority="7" operator="containsText" dxfId="2" text="Medium"/>
    <cfRule type="containsText" priority="8" operator="containsText" dxfId="3" text="Low"/>
  </conditionalFormatting>
  <pageMargins left="0.25" right="0.25" top="0.35" bottom="0.35" header="0.15" footer="0.15"/>
  <pageSetup orientation="landscape" paperSize="5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9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44" customWidth="1" min="2" max="2"/>
    <col width="22" customWidth="1" min="3" max="3"/>
    <col width="24" customWidth="1" min="4" max="4"/>
    <col width="14" customWidth="1" min="5" max="5"/>
    <col width="42" customWidth="1" min="6" max="6"/>
    <col width="38" customWidth="1" min="7" max="7"/>
    <col width="44" customWidth="1" min="8" max="8"/>
  </cols>
  <sheetData>
    <row r="1">
      <c r="A1" s="27" t="inlineStr">
        <is>
          <t>Roadmap Phase</t>
        </is>
      </c>
      <c r="B1" s="28" t="inlineStr">
        <is>
          <t>Action</t>
        </is>
      </c>
      <c r="C1" s="28" t="inlineStr">
        <is>
          <t>Related CSF IDs</t>
        </is>
      </c>
      <c r="D1" s="28" t="inlineStr">
        <is>
          <t>Owner</t>
        </is>
      </c>
      <c r="E1" s="28" t="inlineStr">
        <is>
          <t>Priority</t>
        </is>
      </c>
      <c r="F1" s="28" t="inlineStr">
        <is>
          <t>Expected Evidence</t>
        </is>
      </c>
      <c r="G1" s="28" t="inlineStr">
        <is>
          <t>Success Measure</t>
        </is>
      </c>
      <c r="H1" s="29" t="inlineStr">
        <is>
          <t>Interview Talking Point</t>
        </is>
      </c>
    </row>
    <row r="2">
      <c r="A2" s="30" t="inlineStr">
        <is>
          <t>0-30 days</t>
        </is>
      </c>
      <c r="B2" s="30" t="inlineStr">
        <is>
          <t>Approve security governance owners and policy review calendar</t>
        </is>
      </c>
      <c r="C2" s="30" t="inlineStr">
        <is>
          <t>GV.OC-01, GV.PO-01</t>
        </is>
      </c>
      <c r="D2" s="30" t="inlineStr">
        <is>
          <t>CISO / GRC</t>
        </is>
      </c>
      <c r="E2" s="30" t="inlineStr">
        <is>
          <t>High</t>
        </is>
      </c>
      <c r="F2" s="30" t="inlineStr">
        <is>
          <t>Approved calendar, owner matrix</t>
        </is>
      </c>
      <c r="G2" s="30" t="inlineStr">
        <is>
          <t>Owners assigned for key controls</t>
        </is>
      </c>
      <c r="H2" s="30" t="inlineStr">
        <is>
          <t>Governance turns framework results into accountability</t>
        </is>
      </c>
    </row>
    <row r="3">
      <c r="A3" s="31" t="inlineStr">
        <is>
          <t>0-30 days</t>
        </is>
      </c>
      <c r="B3" s="31" t="inlineStr">
        <is>
          <t>Remove unmanaged privileged MFA exceptions</t>
        </is>
      </c>
      <c r="C3" s="31" t="inlineStr">
        <is>
          <t>PR.AA-01</t>
        </is>
      </c>
      <c r="D3" s="31" t="inlineStr">
        <is>
          <t>VP of IT</t>
        </is>
      </c>
      <c r="E3" s="31" t="inlineStr">
        <is>
          <t>High</t>
        </is>
      </c>
      <c r="F3" s="31" t="inlineStr">
        <is>
          <t>MFA policy export, exception log</t>
        </is>
      </c>
      <c r="G3" s="31" t="inlineStr">
        <is>
          <t>100% admin MFA enforcement or approved exception</t>
        </is>
      </c>
      <c r="H3" s="31" t="inlineStr">
        <is>
          <t>Existing MFA is not enough if privileged exceptions are unmanaged</t>
        </is>
      </c>
    </row>
    <row r="4">
      <c r="A4" s="31" t="inlineStr">
        <is>
          <t>31-90 days</t>
        </is>
      </c>
      <c r="B4" s="31" t="inlineStr">
        <is>
          <t>Implement vendor risk tiering and critical vendor reviews</t>
        </is>
      </c>
      <c r="C4" s="31" t="inlineStr">
        <is>
          <t>GV.SC-04</t>
        </is>
      </c>
      <c r="D4" s="31" t="inlineStr">
        <is>
          <t>Procurement / GRC</t>
        </is>
      </c>
      <c r="E4" s="31" t="inlineStr">
        <is>
          <t>High</t>
        </is>
      </c>
      <c r="F4" s="31" t="inlineStr">
        <is>
          <t>Vendor inventory, tiering matrix, review evidence</t>
        </is>
      </c>
      <c r="G4" s="31" t="inlineStr">
        <is>
          <t>Critical vendors identified and review cadence set</t>
        </is>
      </c>
      <c r="H4" s="31" t="inlineStr">
        <is>
          <t>Supply-chain risk is part of cybersecurity governance</t>
        </is>
      </c>
    </row>
    <row r="5">
      <c r="A5" s="31" t="inlineStr">
        <is>
          <t>31-90 days</t>
        </is>
      </c>
      <c r="B5" s="31" t="inlineStr">
        <is>
          <t>Adopt vulnerability remediation SLA and reporting</t>
        </is>
      </c>
      <c r="C5" s="31" t="inlineStr">
        <is>
          <t>ID.RA-01</t>
        </is>
      </c>
      <c r="D5" s="31" t="inlineStr">
        <is>
          <t>Security Engineer</t>
        </is>
      </c>
      <c r="E5" s="31" t="inlineStr">
        <is>
          <t>High</t>
        </is>
      </c>
      <c r="F5" s="31" t="inlineStr">
        <is>
          <t>SLA policy, vulnerability aging report</t>
        </is>
      </c>
      <c r="G5" s="31" t="inlineStr">
        <is>
          <t>Overdue critical vulnerabilities reported monthly</t>
        </is>
      </c>
      <c r="H5" s="31" t="inlineStr">
        <is>
          <t>A scanner is only useful if findings are governed</t>
        </is>
      </c>
    </row>
    <row r="6">
      <c r="A6" s="31" t="inlineStr">
        <is>
          <t>31-90 days</t>
        </is>
      </c>
      <c r="B6" s="31" t="inlineStr">
        <is>
          <t>Map critical log sources and alert owners</t>
        </is>
      </c>
      <c r="C6" s="31" t="inlineStr">
        <is>
          <t>DE.CM-01</t>
        </is>
      </c>
      <c r="D6" s="31" t="inlineStr">
        <is>
          <t>Security Operations</t>
        </is>
      </c>
      <c r="E6" s="31" t="inlineStr">
        <is>
          <t>High</t>
        </is>
      </c>
      <c r="F6" s="31" t="inlineStr">
        <is>
          <t>Log source inventory, alert routing matrix</t>
        </is>
      </c>
      <c r="G6" s="31" t="inlineStr">
        <is>
          <t>Critical alerts have named owner</t>
        </is>
      </c>
      <c r="H6" s="31" t="inlineStr">
        <is>
          <t>Detection maturity depends on coverage and ownership</t>
        </is>
      </c>
    </row>
    <row r="7">
      <c r="A7" s="31" t="inlineStr">
        <is>
          <t>3-6 months</t>
        </is>
      </c>
      <c r="B7" s="31" t="inlineStr">
        <is>
          <t>Conduct incident-response tabletop</t>
        </is>
      </c>
      <c r="C7" s="31" t="inlineStr">
        <is>
          <t>RS.MA-01, RS.CO-03</t>
        </is>
      </c>
      <c r="D7" s="31" t="inlineStr">
        <is>
          <t>CISO / Legal</t>
        </is>
      </c>
      <c r="E7" s="31" t="inlineStr">
        <is>
          <t>High</t>
        </is>
      </c>
      <c r="F7" s="31" t="inlineStr">
        <is>
          <t>Exercise agenda, participant list, lessons learned</t>
        </is>
      </c>
      <c r="G7" s="31" t="inlineStr">
        <is>
          <t>Corrective actions opened and tracked</t>
        </is>
      </c>
      <c r="H7" s="31" t="inlineStr">
        <is>
          <t>Plans must be exercised to prove readiness</t>
        </is>
      </c>
    </row>
    <row r="8">
      <c r="A8" s="31" t="inlineStr">
        <is>
          <t>3-6 months</t>
        </is>
      </c>
      <c r="B8" s="31" t="inlineStr">
        <is>
          <t>Perform backup restoration and DR test</t>
        </is>
      </c>
      <c r="C8" s="31" t="inlineStr">
        <is>
          <t>RC.RP-01</t>
        </is>
      </c>
      <c r="D8" s="31" t="inlineStr">
        <is>
          <t>Infrastructure</t>
        </is>
      </c>
      <c r="E8" s="31" t="inlineStr">
        <is>
          <t>High</t>
        </is>
      </c>
      <c r="F8" s="31" t="inlineStr">
        <is>
          <t>Restore test record, RTO/RPO results</t>
        </is>
      </c>
      <c r="G8" s="31" t="inlineStr">
        <is>
          <t>Recovery objective met or gap documented</t>
        </is>
      </c>
      <c r="H8" s="31" t="inlineStr">
        <is>
          <t>Recovery is not proven until tested</t>
        </is>
      </c>
    </row>
    <row r="9">
      <c r="A9" s="32" t="inlineStr">
        <is>
          <t>6-12 months</t>
        </is>
      </c>
      <c r="B9" s="32" t="inlineStr">
        <is>
          <t>Build SOC 2 readiness evidence inventory</t>
        </is>
      </c>
      <c r="C9" s="32" t="inlineStr">
        <is>
          <t>GV.RR-02, ID.IM-02</t>
        </is>
      </c>
      <c r="D9" s="32" t="inlineStr">
        <is>
          <t>GRC Lead</t>
        </is>
      </c>
      <c r="E9" s="32" t="inlineStr">
        <is>
          <t>Medium</t>
        </is>
      </c>
      <c r="F9" s="32" t="inlineStr">
        <is>
          <t>Evidence tracker, owner assignments</t>
        </is>
      </c>
      <c r="G9" s="32" t="inlineStr">
        <is>
          <t>Evidence owners and review cadence established</t>
        </is>
      </c>
      <c r="H9" s="32" t="inlineStr">
        <is>
          <t>CSF gap work feeds audit readiness</t>
        </is>
      </c>
    </row>
  </sheetData>
  <conditionalFormatting sqref="E2:E9">
    <cfRule type="containsText" priority="1" operator="containsText" dxfId="0" text="Critical"/>
    <cfRule type="containsText" priority="2" operator="containsText" dxfId="1" text="High"/>
    <cfRule type="containsText" priority="3" operator="containsText" dxfId="2" text="Medium"/>
    <cfRule type="containsText" priority="4" operator="containsText" dxfId="3" text="Low"/>
  </conditionalFormatting>
  <pageMargins left="0.25" right="0.25" top="0.35" bottom="0.35" header="0.15" footer="0.15"/>
  <pageSetup orientation="landscape" paperSize="1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C19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84" customWidth="1" min="2" max="2"/>
    <col width="42" customWidth="1" min="3" max="3"/>
  </cols>
  <sheetData>
    <row r="1">
      <c r="A1" s="27" t="inlineStr">
        <is>
          <t>Reference</t>
        </is>
      </c>
      <c r="B1" s="28" t="inlineStr">
        <is>
          <t>URL</t>
        </is>
      </c>
      <c r="C1" s="29" t="inlineStr">
        <is>
          <t>Use in Workbook</t>
        </is>
      </c>
    </row>
    <row r="2">
      <c r="A2" s="30" t="inlineStr">
        <is>
          <t>NIST CSF 2.0</t>
        </is>
      </c>
      <c r="B2" s="30" t="inlineStr">
        <is>
          <t>https://www.nist.gov/cyberframework</t>
        </is>
      </c>
      <c r="C2" s="30" t="inlineStr">
        <is>
          <t>Primary program framework and functions</t>
        </is>
      </c>
    </row>
    <row r="3">
      <c r="A3" s="31" t="inlineStr">
        <is>
          <t>NIST SP 800-30 Rev. 1</t>
        </is>
      </c>
      <c r="B3" s="31" t="inlineStr">
        <is>
          <t>https://csrc.nist.gov/pubs/sp/800/30/r1/final</t>
        </is>
      </c>
      <c r="C3" s="31" t="inlineStr">
        <is>
          <t>Risk-assessment methodology</t>
        </is>
      </c>
    </row>
    <row r="4">
      <c r="A4" s="31" t="inlineStr">
        <is>
          <t>NIST IR 8286 Rev. 1</t>
        </is>
      </c>
      <c r="B4" s="31" t="inlineStr">
        <is>
          <t>https://csrc.nist.gov/pubs/ir/8286/r1/final</t>
        </is>
      </c>
      <c r="C4" s="31" t="inlineStr">
        <is>
          <t>Cybersecurity risk integration with ERM</t>
        </is>
      </c>
    </row>
    <row r="5">
      <c r="A5" s="31" t="inlineStr">
        <is>
          <t>NIST IR 8286A Rev. 1</t>
        </is>
      </c>
      <c r="B5" s="31" t="inlineStr">
        <is>
          <t>https://csrc.nist.gov/pubs/ir/8286/a/r1/final</t>
        </is>
      </c>
      <c r="C5" s="31" t="inlineStr">
        <is>
          <t>Risk identification and estimation for ERM</t>
        </is>
      </c>
    </row>
    <row r="6">
      <c r="A6" s="31" t="inlineStr">
        <is>
          <t>NIST IR 8286C Rev. 1</t>
        </is>
      </c>
      <c r="B6" s="31" t="inlineStr">
        <is>
          <t>https://csrc.nist.gov/pubs/ir/8286/c/r1/final</t>
        </is>
      </c>
      <c r="C6" s="31" t="inlineStr">
        <is>
          <t>Risk staging and governance oversight</t>
        </is>
      </c>
    </row>
    <row r="7">
      <c r="A7" s="31" t="inlineStr">
        <is>
          <t>NIST SP 1308</t>
        </is>
      </c>
      <c r="B7" s="31" t="inlineStr">
        <is>
          <t>https://csrc.nist.gov/pubs/sp/1308/final</t>
        </is>
      </c>
      <c r="C7" s="31" t="inlineStr">
        <is>
          <t>CSF 2.0, ERM, and workforce management</t>
        </is>
      </c>
    </row>
    <row r="8">
      <c r="A8" s="31" t="inlineStr">
        <is>
          <t>NIST SP 800-53 Rev. 5 Release 5.2.0</t>
        </is>
      </c>
      <c r="B8" s="31" t="inlineStr">
        <is>
          <t>https://csrc.nist.gov/News/2025/nist-releases-revision-to-sp-800-53-controls</t>
        </is>
      </c>
      <c r="C8" s="31" t="inlineStr">
        <is>
          <t>Control catalog reference</t>
        </is>
      </c>
    </row>
    <row r="9">
      <c r="A9" s="31" t="inlineStr">
        <is>
          <t>NIST SP 800-53A Rev. 5</t>
        </is>
      </c>
      <c r="B9" s="31" t="inlineStr">
        <is>
          <t>https://csrc.nist.gov/pubs/sp/800/53/a/r5/final</t>
        </is>
      </c>
      <c r="C9" s="31" t="inlineStr">
        <is>
          <t>Control assessment reference</t>
        </is>
      </c>
    </row>
    <row r="10">
      <c r="A10" s="31" t="inlineStr">
        <is>
          <t>NIST SP 800-161 Rev. 1 Update 1</t>
        </is>
      </c>
      <c r="B10" s="31" t="inlineStr">
        <is>
          <t>https://csrc.nist.gov/pubs/sp/800/161/r1/upd1/final</t>
        </is>
      </c>
      <c r="C10" s="31" t="inlineStr">
        <is>
          <t>Supply-chain risk reference</t>
        </is>
      </c>
    </row>
    <row r="11">
      <c r="A11" s="31" t="inlineStr">
        <is>
          <t>CIS Controls v8.1</t>
        </is>
      </c>
      <c r="B11" s="31" t="inlineStr">
        <is>
          <t>https://www.cisecurity.org/controls/v8-1</t>
        </is>
      </c>
      <c r="C11" s="31" t="inlineStr">
        <is>
          <t>Prioritized safeguards</t>
        </is>
      </c>
    </row>
    <row r="12">
      <c r="A12" s="31" t="inlineStr">
        <is>
          <t>ISO/IEC 27001:2022/Amd 1:2024</t>
        </is>
      </c>
      <c r="B12" s="31" t="inlineStr">
        <is>
          <t>https://www.iso.org/standard/88435.html</t>
        </is>
      </c>
      <c r="C12" s="31" t="inlineStr">
        <is>
          <t>ISMS requirements</t>
        </is>
      </c>
    </row>
    <row r="13">
      <c r="A13" s="31" t="inlineStr">
        <is>
          <t>ISO/IEC 27002:2022</t>
        </is>
      </c>
      <c r="B13" s="31" t="inlineStr">
        <is>
          <t>https://www.iso.org/standard/75652.html</t>
        </is>
      </c>
      <c r="C13" s="31" t="inlineStr">
        <is>
          <t>Security control guidance</t>
        </is>
      </c>
    </row>
    <row r="14">
      <c r="A14" s="31" t="inlineStr">
        <is>
          <t>AICPA TSC revised points of focus 2022</t>
        </is>
      </c>
      <c r="B14" s="31" t="inlineStr">
        <is>
          <t>https://www.aicpa-cima.com/resources/download/2017-trust-services-criteria-with-revised-points-of-focus-2022</t>
        </is>
      </c>
      <c r="C14" s="31" t="inlineStr">
        <is>
          <t>SOC 2 criteria reference</t>
        </is>
      </c>
    </row>
    <row r="15">
      <c r="A15" s="31" t="inlineStr">
        <is>
          <t>NIST SP 800-61 Rev. 3</t>
        </is>
      </c>
      <c r="B15" s="31" t="inlineStr">
        <is>
          <t>https://csrc.nist.gov/pubs/sp/800/61/r3/final</t>
        </is>
      </c>
      <c r="C15" s="31" t="inlineStr">
        <is>
          <t>Incident response</t>
        </is>
      </c>
    </row>
    <row r="16">
      <c r="A16" s="31" t="inlineStr">
        <is>
          <t>NIST SP 800-171 Rev. 3</t>
        </is>
      </c>
      <c r="B16" s="31" t="inlineStr">
        <is>
          <t>https://csrc.nist.gov/pubs/sp/800/171/r3/final</t>
        </is>
      </c>
      <c r="C16" s="31" t="inlineStr">
        <is>
          <t>CUI reference where relevant</t>
        </is>
      </c>
    </row>
    <row r="17">
      <c r="A17" s="31" t="inlineStr">
        <is>
          <t>ISO/IEC 27017:2026</t>
        </is>
      </c>
      <c r="B17" s="31" t="inlineStr">
        <is>
          <t>https://www.iso.org/standard/43757.html</t>
        </is>
      </c>
      <c r="C17" s="31" t="inlineStr">
        <is>
          <t>Cloud-specific control guidance</t>
        </is>
      </c>
    </row>
    <row r="18">
      <c r="A18" s="32" t="inlineStr">
        <is>
          <t>PCI DSS v4.0.1</t>
        </is>
      </c>
      <c r="B18" s="32" t="inlineStr">
        <is>
          <t>https://www.pcisecuritystandards.org/document_library/</t>
        </is>
      </c>
      <c r="C18" s="32" t="inlineStr">
        <is>
          <t>Payment-card reference where relevant</t>
        </is>
      </c>
    </row>
    <row r="19" ht="36" customHeight="1">
      <c r="A19" s="32" t="inlineStr">
        <is>
          <t>Scenario dates and rating definitions</t>
        </is>
      </c>
      <c r="B19" s="32" t="inlineStr">
        <is>
          <t>Fictional assessment assumptions; see shared company profile</t>
        </is>
      </c>
      <c r="C19" s="32" t="inlineStr">
        <is>
          <t>../../00-company-profile/Northbridge-Company-and-GRC-Scope.md</t>
        </is>
      </c>
    </row>
  </sheetData>
  <pageMargins left="0.25" right="0.25" top="0.35" bottom="0.35" header="0.15" footer="0.15"/>
  <pageSetup orientation="portrait" paperSize="1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2026-08-17T04:22:37Z</dcterms:created>
  <dcterms:modified xmlns:dcterms="http://purl.org/dc/terms/" xmlns:xsi="http://www.w3.org/2001/XMLSchema-instance" xsi:type="dcterms:W3CDTF">2026-09-14T07:24:36Z</dcterms:modified>
</cp:coreProperties>
</file>