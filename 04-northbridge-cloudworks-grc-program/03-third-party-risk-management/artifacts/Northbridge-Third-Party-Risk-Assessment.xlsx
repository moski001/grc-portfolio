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Vendor Profile" sheetId="2" state="visible" r:id="rId2"/>
    <sheet xmlns:r="http://schemas.openxmlformats.org/officeDocument/2006/relationships" name="Questionnaire" sheetId="3" state="visible" r:id="rId3"/>
    <sheet xmlns:r="http://schemas.openxmlformats.org/officeDocument/2006/relationships" name="Scorecard" sheetId="4" state="visible" r:id="rId4"/>
    <sheet xmlns:r="http://schemas.openxmlformats.org/officeDocument/2006/relationships" name="Findings Register" sheetId="5" state="visible" r:id="rId5"/>
    <sheet xmlns:r="http://schemas.openxmlformats.org/officeDocument/2006/relationships" name="Remediation Tracker" sheetId="6" state="visible" r:id="rId6"/>
    <sheet xmlns:r="http://schemas.openxmlformats.org/officeDocument/2006/relationships" name="Decision Memo" sheetId="7" state="visible" r:id="rId7"/>
    <sheet xmlns:r="http://schemas.openxmlformats.org/officeDocument/2006/relationships" name="References" sheetId="8" state="visible" r:id="rId8"/>
  </sheets>
  <definedNames>
    <definedName name="_xlnm.Print_Area" localSheetId="0">'Dashboard'!$A$1:$H$17</definedName>
    <definedName name="_xlnm.Print_Area" localSheetId="1">'Vendor Profile'!$A$1:$D$12</definedName>
    <definedName name="_xlnm.Print_Area" localSheetId="2">'Questionnaire'!$A$1:$F$26</definedName>
    <definedName name="_xlnm.Print_Area" localSheetId="3">'Scorecard'!$A$1:$F$11</definedName>
    <definedName name="_xlnm.Print_Area" localSheetId="4">'Findings Register'!$A$1:$K$6</definedName>
    <definedName name="_xlnm.Print_Area" localSheetId="5">'Remediation Tracker'!$A$1:$H$6</definedName>
    <definedName name="_xlnm.Print_Area" localSheetId="6">'Decision Memo'!$A$1:$D$10</definedName>
    <definedName name="_xlnm.Print_Area" localSheetId="7">'References'!$A$1:$C$12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2355B"/>
      </patternFill>
    </fill>
    <fill>
      <patternFill patternType="solid">
        <fgColor rgb="FFE8F0FE"/>
      </patternFill>
    </fill>
  </fills>
  <borders count="18">
    <border/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right style="thin">
        <color rgb="FFCBD5E1"/>
      </right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E5E7EB"/>
      </bottom>
    </border>
    <border>
      <right style="thin">
        <color rgb="FFCBD5E1"/>
      </right>
      <top style="thin">
        <color rgb="FFCBD5E1"/>
      </top>
      <bottom style="thin">
        <color rgb="FFE5E7EB"/>
      </bottom>
    </border>
    <border>
      <left style="thin">
        <color rgb="FFCBD5E1"/>
      </left>
      <right style="thin">
        <color rgb="FFCBD5E1"/>
      </right>
      <top style="thin">
        <color rgb="FFE5E7EB"/>
      </top>
      <bottom style="thin">
        <color rgb="FFE5E7EB"/>
      </bottom>
    </border>
    <border>
      <right style="thin">
        <color rgb="FFCBD5E1"/>
      </right>
      <top style="thin">
        <color rgb="FFE5E7EB"/>
      </top>
      <bottom style="thin">
        <color rgb="FFE5E7EB"/>
      </bottom>
    </border>
    <border>
      <left style="thin">
        <color rgb="FFCBD5E1"/>
      </left>
      <right style="thin">
        <color rgb="FFCBD5E1"/>
      </right>
      <top style="thin">
        <color rgb="FFE5E7EB"/>
      </top>
      <bottom style="thin">
        <color rgb="FFCBD5E1"/>
      </bottom>
    </border>
    <border>
      <right style="thin">
        <color rgb="FFCBD5E1"/>
      </right>
      <top style="thin">
        <color rgb="FFE5E7EB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E5E7EB"/>
      </bottom>
    </border>
    <border>
      <left style="thin">
        <color rgb="FFCBD5E1"/>
      </left>
      <top style="thin">
        <color rgb="FFE5E7EB"/>
      </top>
      <bottom style="thin">
        <color rgb="FFCBD5E1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3" borderId="2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4" fillId="3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10" applyAlignment="1" pivotButton="0" quotePrefix="0" xfId="0">
      <alignment wrapText="1"/>
    </xf>
    <xf numFmtId="0" fontId="2" fillId="2" borderId="11" applyAlignment="1" pivotButton="0" quotePrefix="0" xfId="0">
      <alignment wrapText="1"/>
    </xf>
    <xf numFmtId="0" fontId="2" fillId="2" borderId="12" applyAlignment="1" pivotButton="0" quotePrefix="0" xfId="0">
      <alignment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9" fontId="0" fillId="0" borderId="13" applyAlignment="1" pivotButton="0" quotePrefix="0" xfId="0">
      <alignment vertical="top" wrapText="1"/>
    </xf>
    <xf numFmtId="9" fontId="0" fillId="0" borderId="14" applyAlignment="1" pivotButton="0" quotePrefix="0" xfId="0">
      <alignment vertical="top" wrapText="1"/>
    </xf>
    <xf numFmtId="9" fontId="0" fillId="0" borderId="15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15" applyAlignment="1" pivotButton="0" quotePrefix="0" xfId="0">
      <alignment vertical="top" wrapText="1"/>
    </xf>
    <xf numFmtId="164" fontId="0" fillId="0" borderId="7" applyAlignment="1" pivotButton="0" quotePrefix="0" xfId="0">
      <alignment vertical="top" wrapText="1"/>
    </xf>
    <xf numFmtId="0" fontId="0" fillId="3" borderId="14" applyAlignment="1" pivotButton="0" quotePrefix="0" xfId="0">
      <alignment vertical="top" wrapText="1"/>
    </xf>
    <xf numFmtId="0" fontId="0" fillId="3" borderId="15" applyAlignment="1" pivotButton="0" quotePrefix="0" xfId="0">
      <alignment vertical="top" wrapText="1"/>
    </xf>
    <xf numFmtId="0" fontId="4" fillId="3" borderId="14" applyAlignment="1" pivotButton="0" quotePrefix="0" xfId="0">
      <alignment vertical="top" wrapText="1"/>
    </xf>
    <xf numFmtId="0" fontId="4" fillId="3" borderId="15" applyAlignment="1" pivotButton="0" quotePrefix="0" xfId="0">
      <alignment vertical="top" wrapText="1"/>
    </xf>
    <xf numFmtId="0" fontId="4" fillId="3" borderId="16" applyAlignment="1" pivotButton="0" quotePrefix="0" xfId="0">
      <alignment vertical="top" wrapText="1"/>
    </xf>
    <xf numFmtId="0" fontId="4" fillId="3" borderId="13" applyAlignment="1" pivotButton="0" quotePrefix="0" xfId="0">
      <alignment vertical="top" wrapText="1"/>
    </xf>
    <xf numFmtId="0" fontId="4" fillId="3" borderId="5" applyAlignment="1" pivotButton="0" quotePrefix="0" xfId="0">
      <alignment vertical="top" wrapText="1"/>
    </xf>
    <xf numFmtId="0" fontId="4" fillId="3" borderId="17" applyAlignment="1" pivotButton="0" quotePrefix="0" xfId="0">
      <alignment vertical="top" wrapText="1"/>
    </xf>
    <xf numFmtId="0" fontId="4" fillId="3" borderId="9" applyAlignment="1" pivotButton="0" quotePrefix="0" xfId="0">
      <alignment vertical="top" wrapText="1"/>
    </xf>
    <xf numFmtId="1" fontId="0" fillId="0" borderId="13" applyAlignment="1" pivotButton="0" quotePrefix="0" xfId="0">
      <alignment vertical="top" wrapText="1"/>
    </xf>
    <xf numFmtId="1" fontId="0" fillId="0" borderId="14" applyAlignment="1" pivotButton="0" quotePrefix="0" xfId="0">
      <alignment vertical="top" wrapText="1"/>
    </xf>
    <xf numFmtId="1" fontId="0" fillId="0" borderId="15" applyAlignment="1" pivotButton="0" quotePrefix="0" xfId="0">
      <alignment vertical="top" wrapText="1"/>
    </xf>
    <xf numFmtId="9" fontId="0" fillId="0" borderId="13" applyAlignment="1" pivotButton="0" quotePrefix="0" xfId="0">
      <alignment vertical="top" wrapText="1"/>
    </xf>
    <xf numFmtId="9" fontId="0" fillId="0" borderId="14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9" fontId="0" fillId="0" borderId="15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15" applyAlignment="1" pivotButton="0" quotePrefix="0" xfId="0">
      <alignment vertical="top" wrapText="1"/>
    </xf>
    <xf numFmtId="164" fontId="0" fillId="0" borderId="7" applyAlignment="1" pivotButton="0" quotePrefix="0" xfId="0">
      <alignment vertical="top" wrapText="1"/>
    </xf>
    <xf numFmtId="1" fontId="0" fillId="0" borderId="13" applyAlignment="1" pivotButton="0" quotePrefix="0" xfId="0">
      <alignment vertical="top" wrapText="1"/>
    </xf>
    <xf numFmtId="1" fontId="0" fillId="0" borderId="14" applyAlignment="1" pivotButton="0" quotePrefix="0" xfId="0">
      <alignment vertical="top" wrapText="1"/>
    </xf>
    <xf numFmtId="1" fontId="0" fillId="0" borderId="15" applyAlignment="1" pivotButton="0" quotePrefix="0" xfId="0">
      <alignment vertical="top" wrapText="1"/>
    </xf>
  </cellXfs>
  <cellStyles count="1">
    <cellStyle name="Normal" xfId="0"/>
  </cellStyles>
  <dxfs count="15"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2" customWidth="1" min="4" max="4"/>
    <col width="48" customWidth="1" min="5" max="5"/>
    <col width="28" customWidth="1" min="6" max="6"/>
    <col width="14" customWidth="1" min="7" max="7"/>
    <col width="16" customWidth="1" min="8" max="8"/>
  </cols>
  <sheetData>
    <row r="1">
      <c r="A1" s="4" t="inlineStr">
        <is>
          <t>Northbridge - Third-Party Risk Assessment</t>
        </is>
      </c>
    </row>
    <row r="3">
      <c r="A3" s="18" t="inlineStr">
        <is>
          <t>Vendor</t>
        </is>
      </c>
      <c r="B3" s="19" t="inlineStr">
        <is>
          <t>DataFlow AI</t>
        </is>
      </c>
      <c r="D3" s="27" t="inlineStr">
        <is>
          <t>Domain</t>
        </is>
      </c>
      <c r="E3" s="28" t="inlineStr">
        <is>
          <t>Weight</t>
        </is>
      </c>
      <c r="F3" s="28" t="inlineStr">
        <is>
          <t>Score</t>
        </is>
      </c>
      <c r="G3" s="28" t="inlineStr">
        <is>
          <t>Weighted</t>
        </is>
      </c>
      <c r="H3" s="29" t="inlineStr">
        <is>
          <t>Highest Risk</t>
        </is>
      </c>
    </row>
    <row r="4">
      <c r="A4" s="20" t="inlineStr">
        <is>
          <t>Risk Tier</t>
        </is>
      </c>
      <c r="B4" s="21" t="inlineStr">
        <is>
          <t>Critical</t>
        </is>
      </c>
      <c r="D4" s="30">
        <f>'Scorecard'!A2</f>
        <v/>
      </c>
      <c r="E4" s="52">
        <f>'Scorecard'!B2</f>
        <v/>
      </c>
      <c r="F4" s="30">
        <f>'Scorecard'!C2</f>
        <v/>
      </c>
      <c r="G4" s="52">
        <f>'Scorecard'!D2</f>
        <v/>
      </c>
      <c r="H4" s="30">
        <f>'Scorecard'!F2</f>
        <v/>
      </c>
    </row>
    <row r="5">
      <c r="A5" s="20" t="inlineStr">
        <is>
          <t>Assessment Decision</t>
        </is>
      </c>
      <c r="B5" s="21" t="inlineStr">
        <is>
          <t>Conditional Approval</t>
        </is>
      </c>
      <c r="D5" s="31">
        <f>'Scorecard'!A3</f>
        <v/>
      </c>
      <c r="E5" s="53">
        <f>'Scorecard'!B3</f>
        <v/>
      </c>
      <c r="F5" s="31">
        <f>'Scorecard'!C3</f>
        <v/>
      </c>
      <c r="G5" s="53">
        <f>'Scorecard'!D3</f>
        <v/>
      </c>
      <c r="H5" s="31">
        <f>'Scorecard'!F3</f>
        <v/>
      </c>
    </row>
    <row r="6">
      <c r="A6" s="20" t="inlineStr">
        <is>
          <t>Weighted Score</t>
        </is>
      </c>
      <c r="B6" s="54">
        <f>SUM('Scorecard'!D2:D8)</f>
        <v/>
      </c>
      <c r="D6" s="31">
        <f>'Scorecard'!A4</f>
        <v/>
      </c>
      <c r="E6" s="53">
        <f>'Scorecard'!B4</f>
        <v/>
      </c>
      <c r="F6" s="31">
        <f>'Scorecard'!C4</f>
        <v/>
      </c>
      <c r="G6" s="53">
        <f>'Scorecard'!D4</f>
        <v/>
      </c>
      <c r="H6" s="31">
        <f>'Scorecard'!F4</f>
        <v/>
      </c>
    </row>
    <row r="7">
      <c r="A7" s="20" t="inlineStr">
        <is>
          <t>High Findings</t>
        </is>
      </c>
      <c r="B7" s="21">
        <f>COUNTIF('Findings Register'!D2:D6,"High")</f>
        <v/>
      </c>
      <c r="D7" s="31">
        <f>'Scorecard'!A5</f>
        <v/>
      </c>
      <c r="E7" s="53">
        <f>'Scorecard'!B5</f>
        <v/>
      </c>
      <c r="F7" s="31">
        <f>'Scorecard'!C5</f>
        <v/>
      </c>
      <c r="G7" s="53">
        <f>'Scorecard'!D5</f>
        <v/>
      </c>
      <c r="H7" s="31">
        <f>'Scorecard'!F5</f>
        <v/>
      </c>
    </row>
    <row r="8">
      <c r="A8" s="20" t="inlineStr">
        <is>
          <t>Open Findings</t>
        </is>
      </c>
      <c r="B8" s="21">
        <f>COUNTIF('Findings Register'!J2:J6,"Open")</f>
        <v/>
      </c>
      <c r="D8" s="31">
        <f>'Scorecard'!A6</f>
        <v/>
      </c>
      <c r="E8" s="53">
        <f>'Scorecard'!B6</f>
        <v/>
      </c>
      <c r="F8" s="31">
        <f>'Scorecard'!C6</f>
        <v/>
      </c>
      <c r="G8" s="53">
        <f>'Scorecard'!D6</f>
        <v/>
      </c>
      <c r="H8" s="31">
        <f>'Scorecard'!F6</f>
        <v/>
      </c>
    </row>
    <row r="9">
      <c r="A9" s="22" t="inlineStr">
        <is>
          <t>Assessment Date</t>
        </is>
      </c>
      <c r="B9" s="55" t="n">
        <v>46247</v>
      </c>
      <c r="D9" s="31">
        <f>'Scorecard'!A7</f>
        <v/>
      </c>
      <c r="E9" s="53">
        <f>'Scorecard'!B7</f>
        <v/>
      </c>
      <c r="F9" s="31">
        <f>'Scorecard'!C7</f>
        <v/>
      </c>
      <c r="G9" s="53">
        <f>'Scorecard'!D7</f>
        <v/>
      </c>
      <c r="H9" s="31">
        <f>'Scorecard'!F7</f>
        <v/>
      </c>
    </row>
    <row r="10">
      <c r="D10" s="32">
        <f>'Scorecard'!A8</f>
        <v/>
      </c>
      <c r="E10" s="56">
        <f>'Scorecard'!B8</f>
        <v/>
      </c>
      <c r="F10" s="32">
        <f>'Scorecard'!C8</f>
        <v/>
      </c>
      <c r="G10" s="56">
        <f>'Scorecard'!D8</f>
        <v/>
      </c>
      <c r="H10" s="32">
        <f>'Scorecard'!F8</f>
        <v/>
      </c>
    </row>
    <row r="12">
      <c r="A12" s="27" t="inlineStr">
        <is>
          <t>Top Findings</t>
        </is>
      </c>
      <c r="B12" s="28" t="inlineStr">
        <is>
          <t>Domain</t>
        </is>
      </c>
      <c r="C12" s="28" t="inlineStr">
        <is>
          <t>Severity</t>
        </is>
      </c>
      <c r="D12" s="28" t="inlineStr">
        <is>
          <t>Risk</t>
        </is>
      </c>
      <c r="E12" s="28" t="inlineStr">
        <is>
          <t>Recommendation</t>
        </is>
      </c>
      <c r="F12" s="28" t="inlineStr">
        <is>
          <t>Owner</t>
        </is>
      </c>
      <c r="G12" s="28" t="inlineStr">
        <is>
          <t>Due Date</t>
        </is>
      </c>
      <c r="H12" s="29" t="inlineStr">
        <is>
          <t>Status</t>
        </is>
      </c>
    </row>
    <row r="13">
      <c r="A13" s="30" t="inlineStr">
        <is>
          <t>F-001</t>
        </is>
      </c>
      <c r="B13" s="30" t="inlineStr">
        <is>
          <t>IAM</t>
        </is>
      </c>
      <c r="C13" s="30" t="inlineStr">
        <is>
          <t>High</t>
        </is>
      </c>
      <c r="D13" s="30" t="inlineStr">
        <is>
          <t>Unauthorized administrative access could affect customer data and service integrity.</t>
        </is>
      </c>
      <c r="E13" s="30" t="inlineStr">
        <is>
          <t>Require privileged MFA evidence before production integration.</t>
        </is>
      </c>
      <c r="F13" s="30" t="inlineStr">
        <is>
          <t>DataFlow AI Security Lead</t>
        </is>
      </c>
      <c r="G13" s="57" t="n">
        <v>46295</v>
      </c>
      <c r="H13" s="30" t="inlineStr">
        <is>
          <t>Open</t>
        </is>
      </c>
    </row>
    <row r="14">
      <c r="A14" s="31" t="inlineStr">
        <is>
          <t>F-002</t>
        </is>
      </c>
      <c r="B14" s="31" t="inlineStr">
        <is>
          <t>Legal / Incident Response</t>
        </is>
      </c>
      <c r="C14" s="31" t="inlineStr">
        <is>
          <t>High</t>
        </is>
      </c>
      <c r="D14" s="31" t="inlineStr">
        <is>
          <t>Northbridge may not receive timely notice needed for customer and legal obligations.</t>
        </is>
      </c>
      <c r="E14" s="31" t="inlineStr">
        <is>
          <t>Add contract language for timely notification and required incident details.</t>
        </is>
      </c>
      <c r="F14" s="31" t="inlineStr">
        <is>
          <t>Northbridge Legal</t>
        </is>
      </c>
      <c r="G14" s="58" t="n">
        <v>46285</v>
      </c>
      <c r="H14" s="31" t="inlineStr">
        <is>
          <t>Open</t>
        </is>
      </c>
    </row>
    <row r="15">
      <c r="A15" s="31" t="inlineStr">
        <is>
          <t>F-003</t>
        </is>
      </c>
      <c r="B15" s="31" t="inlineStr">
        <is>
          <t>Application Security</t>
        </is>
      </c>
      <c r="C15" s="31" t="inlineStr">
        <is>
          <t>Medium</t>
        </is>
      </c>
      <c r="D15" s="31" t="inlineStr">
        <is>
          <t>Application weaknesses may remain undiscovered longer than Northbridge's target risk tolerance.</t>
        </is>
      </c>
      <c r="E15" s="31" t="inlineStr">
        <is>
          <t>Require annual penetration test or documented compensating control.</t>
        </is>
      </c>
      <c r="F15" s="31" t="inlineStr">
        <is>
          <t>DataFlow AI Security Lead</t>
        </is>
      </c>
      <c r="G15" s="58" t="n">
        <v>46326</v>
      </c>
      <c r="H15" s="31" t="inlineStr">
        <is>
          <t>In Progress</t>
        </is>
      </c>
    </row>
    <row r="16">
      <c r="A16" s="31" t="inlineStr">
        <is>
          <t>F-004</t>
        </is>
      </c>
      <c r="B16" s="31" t="inlineStr">
        <is>
          <t>Incident Response</t>
        </is>
      </c>
      <c r="C16" s="31" t="inlineStr">
        <is>
          <t>Medium</t>
        </is>
      </c>
      <c r="D16" s="31" t="inlineStr">
        <is>
          <t>Response roles and communications may be untested during a customer-impacting incident.</t>
        </is>
      </c>
      <c r="E16" s="31" t="inlineStr">
        <is>
          <t>Request tabletop evidence or scheduled exercise date.</t>
        </is>
      </c>
      <c r="F16" s="31" t="inlineStr">
        <is>
          <t>DataFlow AI Compliance Manager</t>
        </is>
      </c>
      <c r="G16" s="58" t="n">
        <v>46341</v>
      </c>
      <c r="H16" s="31" t="inlineStr">
        <is>
          <t>Open</t>
        </is>
      </c>
    </row>
    <row r="17">
      <c r="A17" s="32" t="inlineStr">
        <is>
          <t>F-005</t>
        </is>
      </c>
      <c r="B17" s="32" t="inlineStr">
        <is>
          <t>Security Awareness</t>
        </is>
      </c>
      <c r="C17" s="32" t="inlineStr">
        <is>
          <t>Low</t>
        </is>
      </c>
      <c r="D17" s="32" t="inlineStr">
        <is>
          <t>Contractors may not receive the same security awareness expectations as employees.</t>
        </is>
      </c>
      <c r="E17" s="32" t="inlineStr">
        <is>
          <t>Expand training evidence to contractor population.</t>
        </is>
      </c>
      <c r="F17" s="32" t="inlineStr">
        <is>
          <t>DataFlow AI HR / Compliance</t>
        </is>
      </c>
      <c r="G17" s="59" t="n">
        <v>46371</v>
      </c>
      <c r="H17" s="32" t="inlineStr">
        <is>
          <t>Planned</t>
        </is>
      </c>
    </row>
  </sheetData>
  <mergeCells count="1">
    <mergeCell ref="A1:H1"/>
  </mergeCells>
  <conditionalFormatting sqref="H4:H10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</conditionalFormatting>
  <conditionalFormatting sqref="C13:C17">
    <cfRule type="containsText" priority="4" operator="containsText" dxfId="0" text="High"/>
    <cfRule type="containsText" priority="5" operator="containsText" dxfId="1" text="Medium"/>
    <cfRule type="containsText" priority="6" operator="containsText" dxfId="2" text="Low"/>
  </conditionalFormatting>
  <pageMargins left="0.25" right="0.25" top="0.35" bottom="0.35" header="0.15" footer="0.1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4" customWidth="1" min="3" max="3"/>
    <col width="48" customWidth="1" min="4" max="4"/>
  </cols>
  <sheetData>
    <row r="1">
      <c r="A1" s="4" t="inlineStr">
        <is>
          <t>Vendor Profile and Inherent Risk</t>
        </is>
      </c>
    </row>
    <row r="3">
      <c r="A3" s="18" t="inlineStr">
        <is>
          <t>Vendor</t>
        </is>
      </c>
      <c r="B3" s="30" t="inlineStr">
        <is>
          <t>DataFlow AI</t>
        </is>
      </c>
      <c r="C3" s="18" t="inlineStr">
        <is>
          <t>Service</t>
        </is>
      </c>
      <c r="D3" s="19" t="inlineStr">
        <is>
          <t>AI-assisted customer-support analytics</t>
        </is>
      </c>
    </row>
    <row r="4">
      <c r="A4" s="20" t="inlineStr">
        <is>
          <t>Data Types</t>
        </is>
      </c>
      <c r="B4" s="31" t="inlineStr">
        <is>
          <t>Confidential customer business data; support metadata; limited user identifiers</t>
        </is>
      </c>
      <c r="C4" s="20" t="inlineStr">
        <is>
          <t>Hosting</t>
        </is>
      </c>
      <c r="D4" s="21" t="inlineStr">
        <is>
          <t>Cloud SaaS</t>
        </is>
      </c>
    </row>
    <row r="5">
      <c r="A5" s="20" t="inlineStr">
        <is>
          <t>Integration</t>
        </is>
      </c>
      <c r="B5" s="31" t="inlineStr">
        <is>
          <t>API integration with Northbridge application and Salesforce</t>
        </is>
      </c>
      <c r="C5" s="20" t="inlineStr">
        <is>
          <t>Business Owner</t>
        </is>
      </c>
      <c r="D5" s="21" t="inlineStr">
        <is>
          <t>Customer Operations</t>
        </is>
      </c>
    </row>
    <row r="6">
      <c r="A6" s="20" t="inlineStr">
        <is>
          <t>Inherent Risk Tier</t>
        </is>
      </c>
      <c r="B6" s="31" t="inlineStr">
        <is>
          <t>Critical</t>
        </is>
      </c>
      <c r="C6" s="20" t="inlineStr">
        <is>
          <t>Assessment Type</t>
        </is>
      </c>
      <c r="D6" s="21" t="inlineStr">
        <is>
          <t>Pre-contract security review</t>
        </is>
      </c>
    </row>
    <row r="7">
      <c r="A7" s="20" t="inlineStr">
        <is>
          <t>Risk Rationale</t>
        </is>
      </c>
      <c r="B7" s="31" t="inlineStr">
        <is>
          <t>Processes customer data and integrates with production support workflow</t>
        </is>
      </c>
      <c r="C7" s="20" t="inlineStr">
        <is>
          <t>Decision</t>
        </is>
      </c>
      <c r="D7" s="21" t="inlineStr">
        <is>
          <t>Conditional Approval</t>
        </is>
      </c>
    </row>
    <row r="8">
      <c r="A8" s="20" t="inlineStr">
        <is>
          <t>Review Frequency</t>
        </is>
      </c>
      <c r="B8" s="31" t="inlineStr">
        <is>
          <t>Annual critical vendor review</t>
        </is>
      </c>
      <c r="C8" s="20" t="inlineStr">
        <is>
          <t>Next Review</t>
        </is>
      </c>
      <c r="D8" s="60" t="n">
        <v>46612</v>
      </c>
    </row>
    <row r="9">
      <c r="A9" s="20" t="inlineStr">
        <is>
          <t>Primary Framework</t>
        </is>
      </c>
      <c r="B9" s="31" t="inlineStr">
        <is>
          <t>NIST SP 800-161 Rev. 1 Update 1</t>
        </is>
      </c>
      <c r="C9" s="20" t="inlineStr">
        <is>
          <t>Supporting Frameworks</t>
        </is>
      </c>
      <c r="D9" s="21" t="inlineStr">
        <is>
          <t>NIST CSF 2.0, CIS v8.1, ISO, SOC 2</t>
        </is>
      </c>
    </row>
    <row r="10">
      <c r="A10" s="20" t="inlineStr">
        <is>
          <t>Data Location</t>
        </is>
      </c>
      <c r="B10" s="31" t="inlineStr">
        <is>
          <t>United States cloud region assumed</t>
        </is>
      </c>
      <c r="C10" s="20" t="inlineStr">
        <is>
          <t>Subprocessors</t>
        </is>
      </c>
      <c r="D10" s="21" t="inlineStr">
        <is>
          <t>Disclosed by vendor</t>
        </is>
      </c>
    </row>
    <row r="11">
      <c r="A11" s="20" t="inlineStr">
        <is>
          <t>Contract Status</t>
        </is>
      </c>
      <c r="B11" s="31" t="inlineStr">
        <is>
          <t>Security exhibit under legal review</t>
        </is>
      </c>
      <c r="C11" s="20" t="inlineStr">
        <is>
          <t>Risk Acceptance Required</t>
        </is>
      </c>
      <c r="D11" s="21" t="inlineStr">
        <is>
          <t>No, if high findings close before production</t>
        </is>
      </c>
    </row>
    <row r="12">
      <c r="A12" s="22" t="inlineStr">
        <is>
          <t>Assessment Owner</t>
        </is>
      </c>
      <c r="B12" s="32" t="inlineStr">
        <is>
          <t>Northbridge GRC Lead</t>
        </is>
      </c>
      <c r="C12" s="22" t="inlineStr">
        <is>
          <t>Assessment Date</t>
        </is>
      </c>
      <c r="D12" s="55" t="n">
        <v>46247</v>
      </c>
    </row>
  </sheetData>
  <mergeCells count="1">
    <mergeCell ref="A1:D1"/>
  </mergeCells>
  <pageMargins left="0.25" right="0.25" top="0.35" bottom="0.35" header="0.15" footer="0.1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4" customWidth="1" min="3" max="3"/>
    <col width="42" customWidth="1" min="4" max="4"/>
    <col width="10" customWidth="1" min="5" max="5"/>
    <col width="34" customWidth="1" min="6" max="6"/>
  </cols>
  <sheetData>
    <row r="1">
      <c r="A1" s="27" t="inlineStr">
        <is>
          <t>Domain</t>
        </is>
      </c>
      <c r="B1" s="28" t="inlineStr">
        <is>
          <t>Question</t>
        </is>
      </c>
      <c r="C1" s="28" t="inlineStr">
        <is>
          <t>Response</t>
        </is>
      </c>
      <c r="D1" s="28" t="inlineStr">
        <is>
          <t>Evidence Reviewed</t>
        </is>
      </c>
      <c r="E1" s="28" t="inlineStr">
        <is>
          <t>Score</t>
        </is>
      </c>
      <c r="F1" s="29" t="inlineStr">
        <is>
          <t>Framework Reference</t>
        </is>
      </c>
    </row>
    <row r="2">
      <c r="A2" s="30" t="inlineStr">
        <is>
          <t>Governance</t>
        </is>
      </c>
      <c r="B2" s="30" t="inlineStr">
        <is>
          <t>Does the vendor maintain an information security program with assigned ownership?</t>
        </is>
      </c>
      <c r="C2" s="30" t="inlineStr">
        <is>
          <t>Yes</t>
        </is>
      </c>
      <c r="D2" s="30" t="inlineStr">
        <is>
          <t>Security policy and org chart</t>
        </is>
      </c>
      <c r="E2" s="30" t="n">
        <v>4</v>
      </c>
      <c r="F2" s="30" t="inlineStr">
        <is>
          <t>ISO 27001 Clause 5; NIST CSF GV.RR</t>
        </is>
      </c>
    </row>
    <row r="3">
      <c r="A3" s="31" t="inlineStr">
        <is>
          <t>Governance</t>
        </is>
      </c>
      <c r="B3" s="31" t="inlineStr">
        <is>
          <t>Are security policies reviewed at least annually?</t>
        </is>
      </c>
      <c r="C3" s="31" t="inlineStr">
        <is>
          <t>Partial</t>
        </is>
      </c>
      <c r="D3" s="31" t="inlineStr">
        <is>
          <t>Policy set provided, review cadence unclear</t>
        </is>
      </c>
      <c r="E3" s="31" t="n">
        <v>3</v>
      </c>
      <c r="F3" s="31" t="inlineStr">
        <is>
          <t>ISO 27001 Clause 5; SOC 2 CC1</t>
        </is>
      </c>
    </row>
    <row r="4">
      <c r="A4" s="31" t="inlineStr">
        <is>
          <t>IAM</t>
        </is>
      </c>
      <c r="B4" s="31" t="inlineStr">
        <is>
          <t>Is MFA required for workforce access?</t>
        </is>
      </c>
      <c r="C4" s="31" t="inlineStr">
        <is>
          <t>Yes</t>
        </is>
      </c>
      <c r="D4" s="31" t="inlineStr">
        <is>
          <t>MFA policy</t>
        </is>
      </c>
      <c r="E4" s="31" t="n">
        <v>4</v>
      </c>
      <c r="F4" s="31" t="inlineStr">
        <is>
          <t>CIS 6; NIST 800-53 IA-2</t>
        </is>
      </c>
    </row>
    <row r="5">
      <c r="A5" s="31" t="inlineStr">
        <is>
          <t>IAM</t>
        </is>
      </c>
      <c r="B5" s="31" t="inlineStr">
        <is>
          <t>Is MFA required and evidenced for privileged administrators?</t>
        </is>
      </c>
      <c r="C5" s="31" t="inlineStr">
        <is>
          <t>Partial</t>
        </is>
      </c>
      <c r="D5" s="31" t="inlineStr">
        <is>
          <t>Policy provided, admin evidence missing</t>
        </is>
      </c>
      <c r="E5" s="31" t="n">
        <v>2</v>
      </c>
      <c r="F5" s="31" t="inlineStr">
        <is>
          <t>CIS 6; NIST 800-53 IA-2</t>
        </is>
      </c>
    </row>
    <row r="6">
      <c r="A6" s="31" t="inlineStr">
        <is>
          <t>IAM</t>
        </is>
      </c>
      <c r="B6" s="31" t="inlineStr">
        <is>
          <t>Are access reviews performed for privileged users?</t>
        </is>
      </c>
      <c r="C6" s="31" t="inlineStr">
        <is>
          <t>Partial</t>
        </is>
      </c>
      <c r="D6" s="31" t="inlineStr">
        <is>
          <t>Access review summary, no sample evidence</t>
        </is>
      </c>
      <c r="E6" s="31" t="n">
        <v>3</v>
      </c>
      <c r="F6" s="31" t="inlineStr">
        <is>
          <t>NIST 800-53 AC-2; SOC 2 CC6</t>
        </is>
      </c>
    </row>
    <row r="7">
      <c r="A7" s="31" t="inlineStr">
        <is>
          <t>Data Security</t>
        </is>
      </c>
      <c r="B7" s="31" t="inlineStr">
        <is>
          <t>Is customer data encrypted at rest and in transit?</t>
        </is>
      </c>
      <c r="C7" s="31" t="inlineStr">
        <is>
          <t>Yes</t>
        </is>
      </c>
      <c r="D7" s="31" t="inlineStr">
        <is>
          <t>Architecture and encryption statement</t>
        </is>
      </c>
      <c r="E7" s="31" t="n">
        <v>5</v>
      </c>
      <c r="F7" s="31" t="inlineStr">
        <is>
          <t>ISO 27002; ISO 27017</t>
        </is>
      </c>
    </row>
    <row r="8">
      <c r="A8" s="31" t="inlineStr">
        <is>
          <t>Data Security</t>
        </is>
      </c>
      <c r="B8" s="31" t="inlineStr">
        <is>
          <t>Are retention and deletion requirements documented?</t>
        </is>
      </c>
      <c r="C8" s="31" t="inlineStr">
        <is>
          <t>Yes</t>
        </is>
      </c>
      <c r="D8" s="31" t="inlineStr">
        <is>
          <t>Retention policy</t>
        </is>
      </c>
      <c r="E8" s="31" t="n">
        <v>4</v>
      </c>
      <c r="F8" s="31" t="inlineStr">
        <is>
          <t>ISO 27002; SOC 2 Confidentiality</t>
        </is>
      </c>
    </row>
    <row r="9">
      <c r="A9" s="31" t="inlineStr">
        <is>
          <t>Data Security</t>
        </is>
      </c>
      <c r="B9" s="31" t="inlineStr">
        <is>
          <t>Are subprocessors disclosed?</t>
        </is>
      </c>
      <c r="C9" s="31" t="inlineStr">
        <is>
          <t>Yes</t>
        </is>
      </c>
      <c r="D9" s="31" t="inlineStr">
        <is>
          <t>Subprocessor list</t>
        </is>
      </c>
      <c r="E9" s="31" t="n">
        <v>4</v>
      </c>
      <c r="F9" s="31" t="inlineStr">
        <is>
          <t>NIST CSF GV.SC</t>
        </is>
      </c>
    </row>
    <row r="10">
      <c r="A10" s="31" t="inlineStr">
        <is>
          <t>Infrastructure</t>
        </is>
      </c>
      <c r="B10" s="31" t="inlineStr">
        <is>
          <t>Are vulnerability scans performed regularly?</t>
        </is>
      </c>
      <c r="C10" s="31" t="inlineStr">
        <is>
          <t>Yes</t>
        </is>
      </c>
      <c r="D10" s="31" t="inlineStr">
        <is>
          <t>Vulnerability procedure</t>
        </is>
      </c>
      <c r="E10" s="31" t="n">
        <v>4</v>
      </c>
      <c r="F10" s="31" t="inlineStr">
        <is>
          <t>CIS 7; NIST 800-53 RA-5</t>
        </is>
      </c>
    </row>
    <row r="11">
      <c r="A11" s="31" t="inlineStr">
        <is>
          <t>Infrastructure</t>
        </is>
      </c>
      <c r="B11" s="31" t="inlineStr">
        <is>
          <t>Are critical vulnerabilities remediated under SLA?</t>
        </is>
      </c>
      <c r="C11" s="31" t="inlineStr">
        <is>
          <t>Partial</t>
        </is>
      </c>
      <c r="D11" s="31" t="inlineStr">
        <is>
          <t>SLA exists, aging evidence limited</t>
        </is>
      </c>
      <c r="E11" s="31" t="n">
        <v>3</v>
      </c>
      <c r="F11" s="31" t="inlineStr">
        <is>
          <t>CIS 7; NIST 800-53 SI-2</t>
        </is>
      </c>
    </row>
    <row r="12">
      <c r="A12" s="31" t="inlineStr">
        <is>
          <t>Infrastructure</t>
        </is>
      </c>
      <c r="B12" s="31" t="inlineStr">
        <is>
          <t>Are cloud configuration controls monitored?</t>
        </is>
      </c>
      <c r="C12" s="31" t="inlineStr">
        <is>
          <t>Partial</t>
        </is>
      </c>
      <c r="D12" s="31" t="inlineStr">
        <is>
          <t>Cloud control summary</t>
        </is>
      </c>
      <c r="E12" s="31" t="n">
        <v>3</v>
      </c>
      <c r="F12" s="31" t="inlineStr">
        <is>
          <t>ISO 27017; CIS 4</t>
        </is>
      </c>
    </row>
    <row r="13">
      <c r="A13" s="31" t="inlineStr">
        <is>
          <t>Application Security</t>
        </is>
      </c>
      <c r="B13" s="31" t="inlineStr">
        <is>
          <t>Does the vendor maintain secure SDLC practices?</t>
        </is>
      </c>
      <c r="C13" s="31" t="inlineStr">
        <is>
          <t>Yes</t>
        </is>
      </c>
      <c r="D13" s="31" t="inlineStr">
        <is>
          <t>SDLC policy</t>
        </is>
      </c>
      <c r="E13" s="31" t="n">
        <v>4</v>
      </c>
      <c r="F13" s="31" t="inlineStr">
        <is>
          <t>CIS 16; NIST 800-53 SA-10</t>
        </is>
      </c>
    </row>
    <row r="14">
      <c r="A14" s="31" t="inlineStr">
        <is>
          <t>Application Security</t>
        </is>
      </c>
      <c r="B14" s="31" t="inlineStr">
        <is>
          <t>Is independent penetration testing performed annually?</t>
        </is>
      </c>
      <c r="C14" s="31" t="inlineStr">
        <is>
          <t>No</t>
        </is>
      </c>
      <c r="D14" s="31" t="inlineStr">
        <is>
          <t>Last test summary shows two-year cadence</t>
        </is>
      </c>
      <c r="E14" s="31" t="n">
        <v>2</v>
      </c>
      <c r="F14" s="31" t="inlineStr">
        <is>
          <t>SOC 2 CC7; CIS 18</t>
        </is>
      </c>
    </row>
    <row r="15">
      <c r="A15" s="31" t="inlineStr">
        <is>
          <t>Application Security</t>
        </is>
      </c>
      <c r="B15" s="31" t="inlineStr">
        <is>
          <t>Are high and critical findings tracked to closure?</t>
        </is>
      </c>
      <c r="C15" s="31" t="inlineStr">
        <is>
          <t>Partial</t>
        </is>
      </c>
      <c r="D15" s="31" t="inlineStr">
        <is>
          <t>Summary remediation statement</t>
        </is>
      </c>
      <c r="E15" s="31" t="n">
        <v>3</v>
      </c>
      <c r="F15" s="31" t="inlineStr">
        <is>
          <t>NIST 800-53 CA-5</t>
        </is>
      </c>
    </row>
    <row r="16">
      <c r="A16" s="31" t="inlineStr">
        <is>
          <t>Incident Response</t>
        </is>
      </c>
      <c r="B16" s="31" t="inlineStr">
        <is>
          <t>Does the vendor maintain an incident-response plan?</t>
        </is>
      </c>
      <c r="C16" s="31" t="inlineStr">
        <is>
          <t>Yes</t>
        </is>
      </c>
      <c r="D16" s="31" t="inlineStr">
        <is>
          <t>IR plan</t>
        </is>
      </c>
      <c r="E16" s="31" t="n">
        <v>4</v>
      </c>
      <c r="F16" s="31" t="inlineStr">
        <is>
          <t>NIST SP 800-61 Rev. 3</t>
        </is>
      </c>
    </row>
    <row r="17" ht="45" customHeight="1">
      <c r="A17" s="31" t="inlineStr">
        <is>
          <t>Incident Response</t>
        </is>
      </c>
      <c r="B17" s="31" t="inlineStr">
        <is>
          <t>Has the incident-response plan been tested recently?</t>
        </is>
      </c>
      <c r="C17" s="31" t="inlineStr">
        <is>
          <t>No</t>
        </is>
      </c>
      <c r="D17" s="31" t="inlineStr">
        <is>
          <t>Unable to test — evidence not provided. No tabletop evidence (F-004).</t>
        </is>
      </c>
      <c r="E17" s="31" t="n">
        <v>2</v>
      </c>
      <c r="F17" s="31" t="inlineStr">
        <is>
          <t>NIST SP 800-61 Rev. 3; CIS 17</t>
        </is>
      </c>
    </row>
    <row r="18">
      <c r="A18" s="31" t="inlineStr">
        <is>
          <t>Incident Response</t>
        </is>
      </c>
      <c r="B18" s="31" t="inlineStr">
        <is>
          <t>Are breach notification obligations contractually defined?</t>
        </is>
      </c>
      <c r="C18" s="31" t="inlineStr">
        <is>
          <t>Partial</t>
        </is>
      </c>
      <c r="D18" s="31" t="inlineStr">
        <is>
          <t>Contract language lacks timeline</t>
        </is>
      </c>
      <c r="E18" s="31" t="n">
        <v>2</v>
      </c>
      <c r="F18" s="31" t="inlineStr">
        <is>
          <t>SOC 2 CC7; Legal requirement</t>
        </is>
      </c>
    </row>
    <row r="19">
      <c r="A19" s="31" t="inlineStr">
        <is>
          <t>Business Continuity</t>
        </is>
      </c>
      <c r="B19" s="31" t="inlineStr">
        <is>
          <t>Does the vendor maintain BCP/DR procedures?</t>
        </is>
      </c>
      <c r="C19" s="31" t="inlineStr">
        <is>
          <t>Yes</t>
        </is>
      </c>
      <c r="D19" s="31" t="inlineStr">
        <is>
          <t>BCP statement</t>
        </is>
      </c>
      <c r="E19" s="31" t="n">
        <v>4</v>
      </c>
      <c r="F19" s="31" t="inlineStr">
        <is>
          <t>NIST 800-53 CP family</t>
        </is>
      </c>
    </row>
    <row r="20">
      <c r="A20" s="31" t="inlineStr">
        <is>
          <t>Business Continuity</t>
        </is>
      </c>
      <c r="B20" s="31" t="inlineStr">
        <is>
          <t>Are recovery objectives documented and tested?</t>
        </is>
      </c>
      <c r="C20" s="31" t="inlineStr">
        <is>
          <t>Partial</t>
        </is>
      </c>
      <c r="D20" s="31" t="inlineStr">
        <is>
          <t>RTO/RPO provided, test evidence limited</t>
        </is>
      </c>
      <c r="E20" s="31" t="n">
        <v>3</v>
      </c>
      <c r="F20" s="31" t="inlineStr">
        <is>
          <t>NIST 800-53 CP-4, CP-10</t>
        </is>
      </c>
    </row>
    <row r="21">
      <c r="A21" s="31" t="inlineStr">
        <is>
          <t>Compliance</t>
        </is>
      </c>
      <c r="B21" s="31" t="inlineStr">
        <is>
          <t>Is a SOC 2 or equivalent assurance report available?</t>
        </is>
      </c>
      <c r="C21" s="31" t="inlineStr">
        <is>
          <t>Yes</t>
        </is>
      </c>
      <c r="D21" s="31" t="inlineStr">
        <is>
          <t>SOC 2 executive summary</t>
        </is>
      </c>
      <c r="E21" s="31" t="n">
        <v>4</v>
      </c>
      <c r="F21" s="31" t="inlineStr">
        <is>
          <t>AICPA TSC</t>
        </is>
      </c>
    </row>
    <row r="22">
      <c r="A22" s="31" t="inlineStr">
        <is>
          <t>Compliance</t>
        </is>
      </c>
      <c r="B22" s="31" t="inlineStr">
        <is>
          <t>Are audit exceptions tracked and remediated?</t>
        </is>
      </c>
      <c r="C22" s="31" t="inlineStr">
        <is>
          <t>Partial</t>
        </is>
      </c>
      <c r="D22" s="31" t="inlineStr">
        <is>
          <t>Exception summary provided</t>
        </is>
      </c>
      <c r="E22" s="31" t="n">
        <v>3</v>
      </c>
      <c r="F22" s="31" t="inlineStr">
        <is>
          <t>SOC 2 CC4; CC5</t>
        </is>
      </c>
    </row>
    <row r="23">
      <c r="A23" s="31" t="inlineStr">
        <is>
          <t>Privacy</t>
        </is>
      </c>
      <c r="B23" s="31" t="inlineStr">
        <is>
          <t>Does the vendor document data processing and privacy obligations?</t>
        </is>
      </c>
      <c r="C23" s="31" t="inlineStr">
        <is>
          <t>Yes</t>
        </is>
      </c>
      <c r="D23" s="31" t="inlineStr">
        <is>
          <t>DPA and privacy summary</t>
        </is>
      </c>
      <c r="E23" s="31" t="n">
        <v>4</v>
      </c>
      <c r="F23" s="31" t="inlineStr">
        <is>
          <t>ISO 27001; SOC 2 Privacy</t>
        </is>
      </c>
    </row>
    <row r="24">
      <c r="A24" s="31" t="inlineStr">
        <is>
          <t>Contract</t>
        </is>
      </c>
      <c r="B24" s="31" t="inlineStr">
        <is>
          <t>Are security requirements included in the contract?</t>
        </is>
      </c>
      <c r="C24" s="31" t="inlineStr">
        <is>
          <t>Partial</t>
        </is>
      </c>
      <c r="D24" s="31" t="inlineStr">
        <is>
          <t>Security exhibit provided</t>
        </is>
      </c>
      <c r="E24" s="31" t="n">
        <v>3</v>
      </c>
      <c r="F24" s="31" t="inlineStr">
        <is>
          <t>NIST CSF GV.SC</t>
        </is>
      </c>
    </row>
    <row r="25">
      <c r="A25" s="31" t="inlineStr">
        <is>
          <t>Contract</t>
        </is>
      </c>
      <c r="B25" s="31" t="inlineStr">
        <is>
          <t>Are right-to-audit or assurance-review rights included?</t>
        </is>
      </c>
      <c r="C25" s="31" t="inlineStr">
        <is>
          <t>Partial</t>
        </is>
      </c>
      <c r="D25" s="31" t="inlineStr">
        <is>
          <t>Annual assurance review allowed</t>
        </is>
      </c>
      <c r="E25" s="31" t="n">
        <v>3</v>
      </c>
      <c r="F25" s="31" t="inlineStr">
        <is>
          <t>NIST SP 800-161</t>
        </is>
      </c>
    </row>
    <row r="26">
      <c r="A26" s="32" t="inlineStr">
        <is>
          <t>Monitoring</t>
        </is>
      </c>
      <c r="B26" s="32" t="inlineStr">
        <is>
          <t>Will Northbridge receive security status or risk updates?</t>
        </is>
      </c>
      <c r="C26" s="32" t="inlineStr">
        <is>
          <t>Partial</t>
        </is>
      </c>
      <c r="D26" s="32" t="inlineStr">
        <is>
          <t>Customer portal available, no formal cadence</t>
        </is>
      </c>
      <c r="E26" s="32" t="n">
        <v>3</v>
      </c>
      <c r="F26" s="32" t="inlineStr">
        <is>
          <t>NIST CSF GV.SC</t>
        </is>
      </c>
    </row>
  </sheetData>
  <pageMargins left="0.25" right="0.25" top="0.35" bottom="0.35" header="0.15" footer="0.1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8" customWidth="1" min="4" max="4"/>
    <col width="58" customWidth="1" min="5" max="5"/>
    <col width="18" customWidth="1" min="6" max="6"/>
  </cols>
  <sheetData>
    <row r="1">
      <c r="A1" s="27" t="inlineStr">
        <is>
          <t>Domain</t>
        </is>
      </c>
      <c r="B1" s="28" t="inlineStr">
        <is>
          <t>Weight</t>
        </is>
      </c>
      <c r="C1" s="28" t="inlineStr">
        <is>
          <t>Score</t>
        </is>
      </c>
      <c r="D1" s="28" t="inlineStr">
        <is>
          <t>Weighted Score</t>
        </is>
      </c>
      <c r="E1" s="28" t="inlineStr">
        <is>
          <t>Assessment Notes</t>
        </is>
      </c>
      <c r="F1" s="29" t="inlineStr">
        <is>
          <t>Highest Risk</t>
        </is>
      </c>
    </row>
    <row r="2">
      <c r="A2" s="30" t="inlineStr">
        <is>
          <t>Governance</t>
        </is>
      </c>
      <c r="B2" s="52" t="n">
        <v>0.1</v>
      </c>
      <c r="C2" s="30" t="n">
        <v>4</v>
      </c>
      <c r="D2" s="52">
        <f>B2*(C2/5)</f>
        <v/>
      </c>
      <c r="E2" s="30" t="inlineStr">
        <is>
          <t>Policies and security ownership exist; risk-review cadence needs improvement.</t>
        </is>
      </c>
      <c r="F2" s="30" t="inlineStr">
        <is>
          <t>Medium</t>
        </is>
      </c>
    </row>
    <row r="3">
      <c r="A3" s="31" t="inlineStr">
        <is>
          <t>IAM</t>
        </is>
      </c>
      <c r="B3" s="53" t="n">
        <v>0.2</v>
      </c>
      <c r="C3" s="31" t="n">
        <v>3</v>
      </c>
      <c r="D3" s="53">
        <f>B3*(C3/5)</f>
        <v/>
      </c>
      <c r="E3" s="31" t="inlineStr">
        <is>
          <t>MFA exists, but privileged MFA evidence is incomplete.</t>
        </is>
      </c>
      <c r="F3" s="31" t="inlineStr">
        <is>
          <t>High</t>
        </is>
      </c>
    </row>
    <row r="4">
      <c r="A4" s="31" t="inlineStr">
        <is>
          <t>Data Security</t>
        </is>
      </c>
      <c r="B4" s="53" t="n">
        <v>0.2</v>
      </c>
      <c r="C4" s="31" t="n">
        <v>4</v>
      </c>
      <c r="D4" s="53">
        <f>B4*(C4/5)</f>
        <v/>
      </c>
      <c r="E4" s="31" t="inlineStr">
        <is>
          <t>Encryption, retention, and deletion practices are documented.</t>
        </is>
      </c>
      <c r="F4" s="31" t="inlineStr">
        <is>
          <t>Medium</t>
        </is>
      </c>
    </row>
    <row r="5">
      <c r="A5" s="31" t="inlineStr">
        <is>
          <t>Infrastructure Security</t>
        </is>
      </c>
      <c r="B5" s="53" t="n">
        <v>0.15</v>
      </c>
      <c r="C5" s="31" t="n">
        <v>4</v>
      </c>
      <c r="D5" s="53">
        <f>B5*(C5/5)</f>
        <v/>
      </c>
      <c r="E5" s="31" t="inlineStr">
        <is>
          <t>Cloud controls exist; configuration evidence is limited.</t>
        </is>
      </c>
      <c r="F5" s="31" t="inlineStr">
        <is>
          <t>Medium</t>
        </is>
      </c>
    </row>
    <row r="6">
      <c r="A6" s="31" t="inlineStr">
        <is>
          <t>Application Security</t>
        </is>
      </c>
      <c r="B6" s="53" t="n">
        <v>0.15</v>
      </c>
      <c r="C6" s="31" t="n">
        <v>3</v>
      </c>
      <c r="D6" s="53">
        <f>B6*(C6/5)</f>
        <v/>
      </c>
      <c r="E6" s="31" t="inlineStr">
        <is>
          <t>Secure SDLC exists; penetration testing cadence is below target.</t>
        </is>
      </c>
      <c r="F6" s="31" t="inlineStr">
        <is>
          <t>Medium</t>
        </is>
      </c>
    </row>
    <row r="7">
      <c r="A7" s="31" t="inlineStr">
        <is>
          <t>Incident Response and BCP</t>
        </is>
      </c>
      <c r="B7" s="53" t="n">
        <v>0.1</v>
      </c>
      <c r="C7" s="31" t="n">
        <v>3</v>
      </c>
      <c r="D7" s="53">
        <f>B7*(C7/5)</f>
        <v/>
      </c>
      <c r="E7" s="31" t="inlineStr">
        <is>
          <t>Plans exist, but tabletop and notification evidence are incomplete.</t>
        </is>
      </c>
      <c r="F7" s="31" t="inlineStr">
        <is>
          <t>High</t>
        </is>
      </c>
    </row>
    <row r="8">
      <c r="A8" s="31" t="inlineStr">
        <is>
          <t>Compliance and Assurance</t>
        </is>
      </c>
      <c r="B8" s="53" t="n">
        <v>0.1</v>
      </c>
      <c r="C8" s="31" t="n">
        <v>4</v>
      </c>
      <c r="D8" s="53">
        <f>B8*(C8/5)</f>
        <v/>
      </c>
      <c r="E8" s="31" t="inlineStr">
        <is>
          <t>SOC 2 evidence is available; exceptions require follow-up.</t>
        </is>
      </c>
      <c r="F8" s="31" t="inlineStr">
        <is>
          <t>Medium</t>
        </is>
      </c>
    </row>
    <row r="9">
      <c r="A9" s="31" t="n"/>
      <c r="B9" s="31" t="n"/>
      <c r="C9" s="31" t="n"/>
      <c r="D9" s="53" t="n"/>
      <c r="E9" s="31" t="n"/>
      <c r="F9" s="31" t="n"/>
    </row>
    <row r="10">
      <c r="A10" s="44" t="inlineStr">
        <is>
          <t>Overall Weighted Score</t>
        </is>
      </c>
      <c r="B10" s="45" t="n"/>
      <c r="C10" s="46" t="n"/>
      <c r="D10" s="53">
        <f>SUM(D2:D8)</f>
        <v/>
      </c>
      <c r="E10" s="31" t="n"/>
      <c r="F10" s="31" t="n"/>
    </row>
    <row r="11">
      <c r="A11" s="47" t="inlineStr">
        <is>
          <t>Decision Threshold</t>
        </is>
      </c>
      <c r="B11" s="43" t="inlineStr">
        <is>
          <t>&gt;=80% Approve; 65%-79% Conditional; &lt;65% Reject</t>
        </is>
      </c>
      <c r="C11" s="48" t="inlineStr">
        <is>
          <t>Decision</t>
        </is>
      </c>
      <c r="D11" s="56">
        <f>IF(D10&gt;=0.8,"Approve",IF(D10&gt;=0.65,"Conditional Approval","Reject"))</f>
        <v/>
      </c>
      <c r="E11" s="32" t="n"/>
      <c r="F11" s="32" t="n"/>
    </row>
  </sheetData>
  <conditionalFormatting sqref="F2:F8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</conditionalFormatting>
  <pageMargins left="0.25" right="0.25" top="0.35" bottom="0.35" header="0.15" footer="0.1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14" customWidth="1" min="4" max="4"/>
    <col width="42" customWidth="1" min="5" max="5"/>
    <col width="48" customWidth="1" min="6" max="6"/>
    <col width="48" customWidth="1" min="7" max="7"/>
    <col width="28" customWidth="1" min="8" max="8"/>
    <col width="14" customWidth="1" min="9" max="9"/>
    <col width="16" customWidth="1" min="10" max="10"/>
    <col width="46" customWidth="1" min="11" max="11"/>
  </cols>
  <sheetData>
    <row r="1">
      <c r="A1" s="27" t="inlineStr">
        <is>
          <t>Finding ID</t>
        </is>
      </c>
      <c r="B1" s="28" t="inlineStr">
        <is>
          <t>Domain</t>
        </is>
      </c>
      <c r="C1" s="28" t="inlineStr">
        <is>
          <t>Finding</t>
        </is>
      </c>
      <c r="D1" s="28" t="inlineStr">
        <is>
          <t>Severity</t>
        </is>
      </c>
      <c r="E1" s="28" t="inlineStr">
        <is>
          <t>Evidence Reviewed</t>
        </is>
      </c>
      <c r="F1" s="28" t="inlineStr">
        <is>
          <t>Risk</t>
        </is>
      </c>
      <c r="G1" s="28" t="inlineStr">
        <is>
          <t>Recommendation</t>
        </is>
      </c>
      <c r="H1" s="28" t="inlineStr">
        <is>
          <t>Owner</t>
        </is>
      </c>
      <c r="I1" s="28" t="inlineStr">
        <is>
          <t>Due Date</t>
        </is>
      </c>
      <c r="J1" s="28" t="inlineStr">
        <is>
          <t>Status</t>
        </is>
      </c>
      <c r="K1" s="29" t="inlineStr">
        <is>
          <t>Validation Evidence</t>
        </is>
      </c>
    </row>
    <row r="2">
      <c r="A2" s="30" t="inlineStr">
        <is>
          <t>F-001</t>
        </is>
      </c>
      <c r="B2" s="30" t="inlineStr">
        <is>
          <t>IAM</t>
        </is>
      </c>
      <c r="C2" s="30" t="inlineStr">
        <is>
          <t>Privileged MFA evidence incomplete</t>
        </is>
      </c>
      <c r="D2" s="30" t="inlineStr">
        <is>
          <t>High</t>
        </is>
      </c>
      <c r="E2" s="30" t="inlineStr">
        <is>
          <t>Vendor provided MFA policy but not an administrator enrollment export or exception list.</t>
        </is>
      </c>
      <c r="F2" s="30" t="inlineStr">
        <is>
          <t>Unauthorized administrative access could affect customer data and service integrity.</t>
        </is>
      </c>
      <c r="G2" s="30" t="inlineStr">
        <is>
          <t>Require privileged MFA evidence before production integration.</t>
        </is>
      </c>
      <c r="H2" s="30" t="inlineStr">
        <is>
          <t>DataFlow AI Security Lead</t>
        </is>
      </c>
      <c r="I2" s="57" t="n">
        <v>46295</v>
      </c>
      <c r="J2" s="30" t="inlineStr">
        <is>
          <t>Open</t>
        </is>
      </c>
      <c r="K2" s="30" t="inlineStr">
        <is>
          <t>MFA configuration export, admin enrollment evidence, approved exception log</t>
        </is>
      </c>
    </row>
    <row r="3">
      <c r="A3" s="31" t="inlineStr">
        <is>
          <t>F-002</t>
        </is>
      </c>
      <c r="B3" s="31" t="inlineStr">
        <is>
          <t>Legal / Incident Response</t>
        </is>
      </c>
      <c r="C3" s="31" t="inlineStr">
        <is>
          <t>Breach notification terms not contractually specific</t>
        </is>
      </c>
      <c r="D3" s="31" t="inlineStr">
        <is>
          <t>High</t>
        </is>
      </c>
      <c r="E3" s="31" t="inlineStr">
        <is>
          <t>Security exhibit references incident notification but does not define timeline or minimum content.</t>
        </is>
      </c>
      <c r="F3" s="31" t="inlineStr">
        <is>
          <t>Northbridge may not receive timely notice needed for customer and legal obligations.</t>
        </is>
      </c>
      <c r="G3" s="31" t="inlineStr">
        <is>
          <t>Add contract language for timely notification and required incident details.</t>
        </is>
      </c>
      <c r="H3" s="31" t="inlineStr">
        <is>
          <t>Northbridge Legal</t>
        </is>
      </c>
      <c r="I3" s="58" t="n">
        <v>46285</v>
      </c>
      <c r="J3" s="31" t="inlineStr">
        <is>
          <t>Open</t>
        </is>
      </c>
      <c r="K3" s="31" t="inlineStr">
        <is>
          <t>Executed contract addendum or redlined clause</t>
        </is>
      </c>
    </row>
    <row r="4">
      <c r="A4" s="31" t="inlineStr">
        <is>
          <t>F-003</t>
        </is>
      </c>
      <c r="B4" s="31" t="inlineStr">
        <is>
          <t>Application Security</t>
        </is>
      </c>
      <c r="C4" s="31" t="inlineStr">
        <is>
          <t>Penetration testing occurs every two years</t>
        </is>
      </c>
      <c r="D4" s="31" t="inlineStr">
        <is>
          <t>Medium</t>
        </is>
      </c>
      <c r="E4" s="31" t="inlineStr">
        <is>
          <t>Vendor provided last external test summary from 2025 and stated testing is every two years.</t>
        </is>
      </c>
      <c r="F4" s="31" t="inlineStr">
        <is>
          <t>Application weaknesses may remain undiscovered longer than Northbridge's target risk tolerance.</t>
        </is>
      </c>
      <c r="G4" s="31" t="inlineStr">
        <is>
          <t>Require annual penetration test or documented compensating control.</t>
        </is>
      </c>
      <c r="H4" s="31" t="inlineStr">
        <is>
          <t>DataFlow AI Security Lead</t>
        </is>
      </c>
      <c r="I4" s="58" t="n">
        <v>46326</v>
      </c>
      <c r="J4" s="31" t="inlineStr">
        <is>
          <t>In Progress</t>
        </is>
      </c>
      <c r="K4" s="31" t="inlineStr">
        <is>
          <t>Updated testing schedule or compensating-control approval</t>
        </is>
      </c>
    </row>
    <row r="5" ht="65" customHeight="1">
      <c r="A5" s="31" t="inlineStr">
        <is>
          <t>F-004</t>
        </is>
      </c>
      <c r="B5" s="31" t="inlineStr">
        <is>
          <t>Incident Response</t>
        </is>
      </c>
      <c r="C5" s="31" t="inlineStr">
        <is>
          <t>Tabletop exercise evidence not provided</t>
        </is>
      </c>
      <c r="D5" s="31" t="inlineStr">
        <is>
          <t>Medium</t>
        </is>
      </c>
      <c r="E5" s="31" t="inlineStr">
        <is>
          <t>Unable to test — evidence not provided. Vendor provided incident-response plan but no recent exercise report.</t>
        </is>
      </c>
      <c r="F5" s="31" t="inlineStr">
        <is>
          <t>Response roles and communications may be untested during a customer-impacting incident.</t>
        </is>
      </c>
      <c r="G5" s="31" t="inlineStr">
        <is>
          <t>Request tabletop evidence or scheduled exercise date.</t>
        </is>
      </c>
      <c r="H5" s="31" t="inlineStr">
        <is>
          <t>DataFlow AI Compliance Manager</t>
        </is>
      </c>
      <c r="I5" s="58" t="n">
        <v>46341</v>
      </c>
      <c r="J5" s="31" t="inlineStr">
        <is>
          <t>Open</t>
        </is>
      </c>
      <c r="K5" s="31" t="inlineStr">
        <is>
          <t>Exercise report, participant list, lessons learned</t>
        </is>
      </c>
    </row>
    <row r="6">
      <c r="A6" s="32" t="inlineStr">
        <is>
          <t>F-005</t>
        </is>
      </c>
      <c r="B6" s="32" t="inlineStr">
        <is>
          <t>Security Awareness</t>
        </is>
      </c>
      <c r="C6" s="32" t="inlineStr">
        <is>
          <t>Contractor training evidence incomplete</t>
        </is>
      </c>
      <c r="D6" s="32" t="inlineStr">
        <is>
          <t>Low</t>
        </is>
      </c>
      <c r="E6" s="32" t="inlineStr">
        <is>
          <t>Training report covered employees but did not show contractor completion.</t>
        </is>
      </c>
      <c r="F6" s="32" t="inlineStr">
        <is>
          <t>Contractors may not receive the same security awareness expectations as employees.</t>
        </is>
      </c>
      <c r="G6" s="32" t="inlineStr">
        <is>
          <t>Expand training evidence to contractor population.</t>
        </is>
      </c>
      <c r="H6" s="32" t="inlineStr">
        <is>
          <t>DataFlow AI HR / Compliance</t>
        </is>
      </c>
      <c r="I6" s="59" t="n">
        <v>46371</v>
      </c>
      <c r="J6" s="32" t="inlineStr">
        <is>
          <t>Planned</t>
        </is>
      </c>
      <c r="K6" s="32" t="inlineStr">
        <is>
          <t>Training completion report including contractors</t>
        </is>
      </c>
    </row>
  </sheetData>
  <conditionalFormatting sqref="D2:D6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</conditionalFormatting>
  <pageMargins left="0.25" right="0.25" top="0.35" bottom="0.35" header="0.15" footer="0.1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28" customWidth="1" min="3" max="3"/>
    <col width="14" customWidth="1" min="4" max="4"/>
    <col width="16" customWidth="1" min="5" max="5"/>
    <col width="16" customWidth="1" min="6" max="6"/>
    <col width="28" customWidth="1" min="7" max="7"/>
    <col width="48" customWidth="1" min="8" max="8"/>
  </cols>
  <sheetData>
    <row r="1">
      <c r="A1" s="27" t="inlineStr">
        <is>
          <t>Finding ID</t>
        </is>
      </c>
      <c r="B1" s="28" t="inlineStr">
        <is>
          <t>Required Action</t>
        </is>
      </c>
      <c r="C1" s="28" t="inlineStr">
        <is>
          <t>Owner</t>
        </is>
      </c>
      <c r="D1" s="28" t="inlineStr">
        <is>
          <t>Due Date</t>
        </is>
      </c>
      <c r="E1" s="28" t="inlineStr">
        <is>
          <t>Status</t>
        </is>
      </c>
      <c r="F1" s="28" t="inlineStr">
        <is>
          <t>Days Until Due</t>
        </is>
      </c>
      <c r="G1" s="28" t="inlineStr">
        <is>
          <t>Escalation</t>
        </is>
      </c>
      <c r="H1" s="29" t="inlineStr">
        <is>
          <t>Closure Criteria</t>
        </is>
      </c>
    </row>
    <row r="2">
      <c r="A2" s="30" t="inlineStr">
        <is>
          <t>F-001</t>
        </is>
      </c>
      <c r="B2" s="30" t="inlineStr">
        <is>
          <t>Require privileged MFA evidence before production integration.</t>
        </is>
      </c>
      <c r="C2" s="30" t="inlineStr">
        <is>
          <t>DataFlow AI Security Lead</t>
        </is>
      </c>
      <c r="D2" s="57" t="n">
        <v>46295</v>
      </c>
      <c r="E2" s="30" t="inlineStr">
        <is>
          <t>Open</t>
        </is>
      </c>
      <c r="F2" s="61">
        <f>DATEDIF(DATE(2026,8,13),D2,"d")</f>
        <v/>
      </c>
      <c r="G2" s="30" t="inlineStr">
        <is>
          <t>Escalate to CISO if overdue</t>
        </is>
      </c>
      <c r="H2" s="30" t="inlineStr">
        <is>
          <t>MFA configuration export, admin enrollment evidence, approved exception log</t>
        </is>
      </c>
    </row>
    <row r="3">
      <c r="A3" s="31" t="inlineStr">
        <is>
          <t>F-002</t>
        </is>
      </c>
      <c r="B3" s="31" t="inlineStr">
        <is>
          <t>Add contract language for timely notification and required incident details.</t>
        </is>
      </c>
      <c r="C3" s="31" t="inlineStr">
        <is>
          <t>Northbridge Legal</t>
        </is>
      </c>
      <c r="D3" s="58" t="n">
        <v>46285</v>
      </c>
      <c r="E3" s="31" t="inlineStr">
        <is>
          <t>Open</t>
        </is>
      </c>
      <c r="F3" s="62">
        <f>DATEDIF(DATE(2026,8,13),D3,"d")</f>
        <v/>
      </c>
      <c r="G3" s="31" t="inlineStr">
        <is>
          <t>Escalate to CISO if overdue</t>
        </is>
      </c>
      <c r="H3" s="31" t="inlineStr">
        <is>
          <t>Executed contract addendum or redlined clause</t>
        </is>
      </c>
    </row>
    <row r="4">
      <c r="A4" s="31" t="inlineStr">
        <is>
          <t>F-003</t>
        </is>
      </c>
      <c r="B4" s="31" t="inlineStr">
        <is>
          <t>Require annual penetration test or documented compensating control.</t>
        </is>
      </c>
      <c r="C4" s="31" t="inlineStr">
        <is>
          <t>DataFlow AI Security Lead</t>
        </is>
      </c>
      <c r="D4" s="58" t="n">
        <v>46326</v>
      </c>
      <c r="E4" s="31" t="inlineStr">
        <is>
          <t>In Progress</t>
        </is>
      </c>
      <c r="F4" s="62">
        <f>DATEDIF(DATE(2026,8,13),D4,"d")</f>
        <v/>
      </c>
      <c r="G4" s="31" t="inlineStr">
        <is>
          <t>Track in vendor review</t>
        </is>
      </c>
      <c r="H4" s="31" t="inlineStr">
        <is>
          <t>Updated testing schedule or compensating-control approval</t>
        </is>
      </c>
    </row>
    <row r="5">
      <c r="A5" s="31" t="inlineStr">
        <is>
          <t>F-004</t>
        </is>
      </c>
      <c r="B5" s="31" t="inlineStr">
        <is>
          <t>Request tabletop evidence or scheduled exercise date.</t>
        </is>
      </c>
      <c r="C5" s="31" t="inlineStr">
        <is>
          <t>DataFlow AI Compliance Manager</t>
        </is>
      </c>
      <c r="D5" s="58" t="n">
        <v>46341</v>
      </c>
      <c r="E5" s="31" t="inlineStr">
        <is>
          <t>Open</t>
        </is>
      </c>
      <c r="F5" s="62">
        <f>DATEDIF(DATE(2026,8,13),D5,"d")</f>
        <v/>
      </c>
      <c r="G5" s="31" t="inlineStr">
        <is>
          <t>Track in vendor review</t>
        </is>
      </c>
      <c r="H5" s="31" t="inlineStr">
        <is>
          <t>Exercise report, participant list, lessons learned</t>
        </is>
      </c>
    </row>
    <row r="6">
      <c r="A6" s="32" t="inlineStr">
        <is>
          <t>F-005</t>
        </is>
      </c>
      <c r="B6" s="32" t="inlineStr">
        <is>
          <t>Expand training evidence to contractor population.</t>
        </is>
      </c>
      <c r="C6" s="32" t="inlineStr">
        <is>
          <t>DataFlow AI HR / Compliance</t>
        </is>
      </c>
      <c r="D6" s="59" t="n">
        <v>46371</v>
      </c>
      <c r="E6" s="32" t="inlineStr">
        <is>
          <t>Planned</t>
        </is>
      </c>
      <c r="F6" s="63">
        <f>DATEDIF(DATE(2026,8,13),D6,"d")</f>
        <v/>
      </c>
      <c r="G6" s="32" t="inlineStr">
        <is>
          <t>Track in vendor review</t>
        </is>
      </c>
      <c r="H6" s="32" t="inlineStr">
        <is>
          <t>Training completion report including contractors</t>
        </is>
      </c>
    </row>
  </sheetData>
  <conditionalFormatting sqref="G2:G6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</conditionalFormatting>
  <pageMargins left="0.25" right="0.25" top="0.35" bottom="0.35" header="0.15" footer="0.1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8" customWidth="1" min="2" max="2"/>
    <col width="24" customWidth="1" min="3" max="3"/>
    <col width="44" customWidth="1" min="4" max="4"/>
  </cols>
  <sheetData>
    <row r="1">
      <c r="A1" s="4" t="inlineStr">
        <is>
          <t>Vendor Decision Memo</t>
        </is>
      </c>
    </row>
    <row r="3">
      <c r="A3" s="18" t="inlineStr">
        <is>
          <t>Vendor</t>
        </is>
      </c>
      <c r="B3" s="30" t="inlineStr">
        <is>
          <t>DataFlow AI</t>
        </is>
      </c>
      <c r="C3" s="18" t="inlineStr">
        <is>
          <t>Decision</t>
        </is>
      </c>
      <c r="D3" s="19" t="inlineStr">
        <is>
          <t>Conditional Approval</t>
        </is>
      </c>
    </row>
    <row r="4">
      <c r="A4" s="20" t="inlineStr">
        <is>
          <t>Business Need</t>
        </is>
      </c>
      <c r="B4" s="31" t="inlineStr">
        <is>
          <t>AI-assisted support analytics for customer operations</t>
        </is>
      </c>
      <c r="C4" s="20" t="inlineStr">
        <is>
          <t>Risk Tier</t>
        </is>
      </c>
      <c r="D4" s="21" t="inlineStr">
        <is>
          <t>Critical</t>
        </is>
      </c>
    </row>
    <row r="5">
      <c r="A5" s="20" t="inlineStr">
        <is>
          <t>Rationale</t>
        </is>
      </c>
      <c r="B5" s="31" t="inlineStr">
        <is>
          <t>Vendor has a reasonable security foundation, but high findings must close before full production use.</t>
        </is>
      </c>
      <c r="C5" s="20" t="inlineStr">
        <is>
          <t>Score</t>
        </is>
      </c>
      <c r="D5" s="54">
        <f>Scorecard!D10</f>
        <v/>
      </c>
    </row>
    <row r="6">
      <c r="A6" s="20" t="inlineStr">
        <is>
          <t>Required Conditions</t>
        </is>
      </c>
      <c r="B6" s="31" t="inlineStr">
        <is>
          <t>Privileged MFA evidence; breach-notification language; annual penetration test commitment; IR tabletop evidence.</t>
        </is>
      </c>
      <c r="C6" s="20" t="inlineStr">
        <is>
          <t>Approval Owner</t>
        </is>
      </c>
      <c r="D6" s="21" t="inlineStr">
        <is>
          <t>CISO / Legal / Customer Operations</t>
        </is>
      </c>
    </row>
    <row r="7">
      <c r="A7" s="20" t="inlineStr">
        <is>
          <t>Production Use</t>
        </is>
      </c>
      <c r="B7" s="31" t="inlineStr">
        <is>
          <t>Limited implementation only until high findings are closed.</t>
        </is>
      </c>
      <c r="C7" s="20" t="inlineStr">
        <is>
          <t>Risk Acceptance</t>
        </is>
      </c>
      <c r="D7" s="21" t="inlineStr">
        <is>
          <t>Not recommended for unresolved high findings</t>
        </is>
      </c>
    </row>
    <row r="8">
      <c r="A8" s="20" t="inlineStr">
        <is>
          <t>Executive Message</t>
        </is>
      </c>
      <c r="B8" s="31" t="inlineStr">
        <is>
          <t>This is a managed business-risk decision, not a simple pass/fail checklist.</t>
        </is>
      </c>
      <c r="C8" s="20" t="inlineStr">
        <is>
          <t>Next Review</t>
        </is>
      </c>
      <c r="D8" s="60" t="n">
        <v>46612</v>
      </c>
    </row>
    <row r="9">
      <c r="A9" s="20" t="inlineStr">
        <is>
          <t>Interview Talking Point</t>
        </is>
      </c>
      <c r="B9" s="31" t="inlineStr">
        <is>
          <t>Conditional approval supports the business while preserving risk accountability.</t>
        </is>
      </c>
      <c r="C9" s="20" t="inlineStr">
        <is>
          <t>Assessment Date</t>
        </is>
      </c>
      <c r="D9" s="60" t="n">
        <v>46247</v>
      </c>
    </row>
    <row r="10">
      <c r="A10" s="22" t="inlineStr">
        <is>
          <t>Portfolio Skill</t>
        </is>
      </c>
      <c r="B10" s="32" t="inlineStr">
        <is>
          <t>Vendor classification, evidence review, findings, remediation tracking, and decision documentation.</t>
        </is>
      </c>
      <c r="C10" s="22" t="inlineStr">
        <is>
          <t>Primary Standard</t>
        </is>
      </c>
      <c r="D10" s="23" t="inlineStr">
        <is>
          <t>NIST SP 800-161 Rev. 1 Update 1</t>
        </is>
      </c>
    </row>
  </sheetData>
  <mergeCells count="1">
    <mergeCell ref="A1:D1"/>
  </mergeCells>
  <pageMargins left="0.25" right="0.25" top="0.35" bottom="0.35" header="0.15" footer="0.15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86" customWidth="1" min="2" max="2"/>
    <col width="44" customWidth="1" min="3" max="3"/>
  </cols>
  <sheetData>
    <row r="1">
      <c r="A1" s="27" t="inlineStr">
        <is>
          <t>Reference</t>
        </is>
      </c>
      <c r="B1" s="28" t="inlineStr">
        <is>
          <t>URL</t>
        </is>
      </c>
      <c r="C1" s="29" t="inlineStr">
        <is>
          <t>Use in Workbook</t>
        </is>
      </c>
    </row>
    <row r="2">
      <c r="A2" s="30" t="inlineStr">
        <is>
          <t>NIST SP 800-161 Rev. 1 Update 1</t>
        </is>
      </c>
      <c r="B2" s="30" t="inlineStr">
        <is>
          <t>https://csrc.nist.gov/pubs/sp/800/161/r1/upd1/final</t>
        </is>
      </c>
      <c r="C2" s="30" t="inlineStr">
        <is>
          <t>Supply-chain cybersecurity risk methodology</t>
        </is>
      </c>
    </row>
    <row r="3">
      <c r="A3" s="31" t="inlineStr">
        <is>
          <t>NIST CSF 2.0</t>
        </is>
      </c>
      <c r="B3" s="31" t="inlineStr">
        <is>
          <t>https://www.nist.gov/cyberframework</t>
        </is>
      </c>
      <c r="C3" s="31" t="inlineStr">
        <is>
          <t>Governance and supply-chain outcome alignment</t>
        </is>
      </c>
    </row>
    <row r="4">
      <c r="A4" s="31" t="inlineStr">
        <is>
          <t>NIST IR 8286 Rev. 1</t>
        </is>
      </c>
      <c r="B4" s="31" t="inlineStr">
        <is>
          <t>https://csrc.nist.gov/pubs/ir/8286/r1/final</t>
        </is>
      </c>
      <c r="C4" s="31" t="inlineStr">
        <is>
          <t>Enterprise-risk reporting context</t>
        </is>
      </c>
    </row>
    <row r="5">
      <c r="A5" s="31" t="inlineStr">
        <is>
          <t>NIST SP 800-53 Rev. 5 Release 5.2.0</t>
        </is>
      </c>
      <c r="B5" s="31" t="inlineStr">
        <is>
          <t>https://csrc.nist.gov/News/2025/nist-releases-revision-to-sp-800-53-controls</t>
        </is>
      </c>
      <c r="C5" s="31" t="inlineStr">
        <is>
          <t>Control references</t>
        </is>
      </c>
    </row>
    <row r="6">
      <c r="A6" s="31" t="inlineStr">
        <is>
          <t>NIST SP 800-53A Rev. 5</t>
        </is>
      </c>
      <c r="B6" s="31" t="inlineStr">
        <is>
          <t>https://csrc.nist.gov/pubs/sp/800/53/a/r5/final</t>
        </is>
      </c>
      <c r="C6" s="31" t="inlineStr">
        <is>
          <t>Evidence and assessment logic</t>
        </is>
      </c>
    </row>
    <row r="7">
      <c r="A7" s="31" t="inlineStr">
        <is>
          <t>NIST SP 800-61 Rev. 3</t>
        </is>
      </c>
      <c r="B7" s="31" t="inlineStr">
        <is>
          <t>https://csrc.nist.gov/pubs/sp/800/61/r3/final</t>
        </is>
      </c>
      <c r="C7" s="31" t="inlineStr">
        <is>
          <t>Incident response and notification review</t>
        </is>
      </c>
    </row>
    <row r="8">
      <c r="A8" s="31" t="inlineStr">
        <is>
          <t>CIS Controls v8.1</t>
        </is>
      </c>
      <c r="B8" s="31" t="inlineStr">
        <is>
          <t>https://www.cisecurity.org/controls/v8-1</t>
        </is>
      </c>
      <c r="C8" s="31" t="inlineStr">
        <is>
          <t>Practical safeguard mapping</t>
        </is>
      </c>
    </row>
    <row r="9">
      <c r="A9" s="31" t="inlineStr">
        <is>
          <t>ISO/IEC 27001:2022/Amd 1:2024</t>
        </is>
      </c>
      <c r="B9" s="31" t="inlineStr">
        <is>
          <t>https://www.iso.org/standard/88435.html</t>
        </is>
      </c>
      <c r="C9" s="31" t="inlineStr">
        <is>
          <t>ISMS alignment</t>
        </is>
      </c>
    </row>
    <row r="10">
      <c r="A10" s="31" t="inlineStr">
        <is>
          <t>ISO/IEC 27002:2022</t>
        </is>
      </c>
      <c r="B10" s="31" t="inlineStr">
        <is>
          <t>https://www.iso.org/standard/75652.html</t>
        </is>
      </c>
      <c r="C10" s="31" t="inlineStr">
        <is>
          <t>Security control guidance</t>
        </is>
      </c>
    </row>
    <row r="11">
      <c r="A11" s="31" t="inlineStr">
        <is>
          <t>ISO/IEC 27017:2026</t>
        </is>
      </c>
      <c r="B11" s="31" t="inlineStr">
        <is>
          <t>https://www.iso.org/standard/43757.html</t>
        </is>
      </c>
      <c r="C11" s="31" t="inlineStr">
        <is>
          <t>Cloud-service control considerations</t>
        </is>
      </c>
    </row>
    <row r="12">
      <c r="A12" s="32" t="inlineStr">
        <is>
          <t>AICPA TSC revised points of focus 2022</t>
        </is>
      </c>
      <c r="B12" s="32" t="inlineStr">
        <is>
          <t>https://www.aicpa-cima.com/resources/download/2017-trust-services-criteria-with-revised-points-of-focus-2022</t>
        </is>
      </c>
      <c r="C12" s="32" t="inlineStr">
        <is>
          <t>SOC 2 evidence review</t>
        </is>
      </c>
    </row>
  </sheetData>
  <pageMargins left="0.25" right="0.25" top="0.35" bottom="0.35" header="0.15" footer="0.1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2026-08-17T04:22:37Z</dcterms:created>
  <dcterms:modified xmlns:dcterms="http://purl.org/dc/terms/" xmlns:xsi="http://www.w3.org/2001/XMLSchema-instance" xsi:type="dcterms:W3CDTF">2026-09-14T07:03:05Z</dcterms:modified>
</cp:coreProperties>
</file>