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I Control Crosswalk" sheetId="1" state="visible" r:id="rId3"/>
    <sheet name="Summary" sheetId="2" state="visible" r:id="rId4"/>
    <sheet name="Legend" sheetId="3" state="visible" r:id="rId5"/>
  </sheets>
  <definedNames>
    <definedName function="false" hidden="false" localSheetId="0" name="_xlnm.Print_Area" vbProcedure="false">'AI Control Crosswalk'!$A$1:$J$19</definedName>
    <definedName function="false" hidden="false" localSheetId="2" name="_xlnm.Print_Area" vbProcedure="false">Legend!$A$1:$B$7</definedName>
    <definedName function="false" hidden="false" localSheetId="1" name="_xlnm.Print_Area" vbProcedure="false">Summary!$A$1:$C$9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<sst xmlns="http://schemas.openxmlformats.org/spreadsheetml/2006/main" count="182" uniqueCount="150">
  <si>
    <t xml:space="preserve">HALCYON BENEFITS GROUP — AI GOVERNANCE CONTROL CROSSWALK</t>
  </si>
  <si>
    <t xml:space="preserve">Sample GRC portfolio artifact | Maps each control objective across NIST AI RMF, ISO/IEC 42001 Annex A, EU AI Act (high-risk obligations), and the existing NIST CSF 2.0 security program | Verify citations against current published texts</t>
  </si>
  <si>
    <t xml:space="preserve">Control Domain</t>
  </si>
  <si>
    <t xml:space="preserve">Control Objective</t>
  </si>
  <si>
    <t xml:space="preserve">NIST AI RMF (Function / Subcategory)</t>
  </si>
  <si>
    <t xml:space="preserve">ISO/IEC 42001 Annex A</t>
  </si>
  <si>
    <t xml:space="preserve">EU AI Act (Article — high-risk unless noted)</t>
  </si>
  <si>
    <t xml:space="preserve">NIST CSF 2.0 (existing program)</t>
  </si>
  <si>
    <t xml:space="preserve">Implementation Status</t>
  </si>
  <si>
    <t xml:space="preserve">Evidence Expected</t>
  </si>
  <si>
    <t xml:space="preserve">Related Risk IDs</t>
  </si>
  <si>
    <t xml:space="preserve">Owner</t>
  </si>
  <si>
    <t xml:space="preserve">Governance</t>
  </si>
  <si>
    <t xml:space="preserve">Establish accountable AI governance body with defined roles, policy, and risk tolerance</t>
  </si>
  <si>
    <t xml:space="preserve">GOVERN 1.1, 1.2, 2.1, 3.1</t>
  </si>
  <si>
    <t xml:space="preserve">A.2.2, A.2.3, A.3.2</t>
  </si>
  <si>
    <t xml:space="preserve">Art. 9 (risk mgmt system) — organizational prerequisite</t>
  </si>
  <si>
    <t xml:space="preserve">GV.RR, GV.RM</t>
  </si>
  <si>
    <t xml:space="preserve">Not Implemented</t>
  </si>
  <si>
    <t xml:space="preserve">Committee charter; AI policy; RACI; meeting minutes</t>
  </si>
  <si>
    <t xml:space="preserve">AIR-012</t>
  </si>
  <si>
    <t xml:space="preserve">General Counsel</t>
  </si>
  <si>
    <t xml:space="preserve">Maintain a complete inventory of AI systems with classification and ownership</t>
  </si>
  <si>
    <t xml:space="preserve">MAP 1.1, 1.6; GOVERN 1.6</t>
  </si>
  <si>
    <t xml:space="preserve">A.4.2, A.4.3</t>
  </si>
  <si>
    <t xml:space="preserve">Art. 49 (registration, high-risk); Art. 26 (deployer obligations)</t>
  </si>
  <si>
    <t xml:space="preserve">ID.AM-01/02 (extended)</t>
  </si>
  <si>
    <t xml:space="preserve">Partially Implemented</t>
  </si>
  <si>
    <t xml:space="preserve">AI System Inventory (this package); quarterly refresh record</t>
  </si>
  <si>
    <t xml:space="preserve">CISO</t>
  </si>
  <si>
    <t xml:space="preserve">Acceptable use policy for AI tools, incl. prohibition on consumer tools for sensitive data</t>
  </si>
  <si>
    <t xml:space="preserve">GOVERN 1.1, 4.1</t>
  </si>
  <si>
    <t xml:space="preserve">A.2.2, A.6.2.5</t>
  </si>
  <si>
    <t xml:space="preserve">Art. 4 (AI literacy) — supporting</t>
  </si>
  <si>
    <t xml:space="preserve">GV.PO, PR.AT</t>
  </si>
  <si>
    <t xml:space="preserve">Signed policy; attestation records; CASB block rules</t>
  </si>
  <si>
    <t xml:space="preserve">AIR-010</t>
  </si>
  <si>
    <t xml:space="preserve">Risk Management</t>
  </si>
  <si>
    <t xml:space="preserve">Perform documented AI risk assessment per system, refreshed on material change</t>
  </si>
  <si>
    <t xml:space="preserve">MAP 5.1; MEASURE 2.x; MANAGE 1.x</t>
  </si>
  <si>
    <t xml:space="preserve">A.5.2, A.5.3, A.5.4</t>
  </si>
  <si>
    <t xml:space="preserve">Art. 9 (risk mgmt system, continuous)</t>
  </si>
  <si>
    <t xml:space="preserve">ID.RA</t>
  </si>
  <si>
    <t xml:space="preserve">AI Risk Assessment (this package); change-triggered reassessment log</t>
  </si>
  <si>
    <t xml:space="preserve">All</t>
  </si>
  <si>
    <t xml:space="preserve">GRC Lead</t>
  </si>
  <si>
    <t xml:space="preserve">Fundamental rights / algorithmic impact assessment for high-risk uses</t>
  </si>
  <si>
    <t xml:space="preserve">MAP 1.1, 3.x; MEASURE 2.11</t>
  </si>
  <si>
    <t xml:space="preserve">A.5.4, A.5.5</t>
  </si>
  <si>
    <t xml:space="preserve">Art. 27 (FRIA — deployers of certain high-risk systems)</t>
  </si>
  <si>
    <t xml:space="preserve">—</t>
  </si>
  <si>
    <t xml:space="preserve">Completed impact assessment per high-risk system</t>
  </si>
  <si>
    <t xml:space="preserve">AIR-001, AIR-005</t>
  </si>
  <si>
    <t xml:space="preserve">GRC Lead + Legal</t>
  </si>
  <si>
    <t xml:space="preserve">Data Governance</t>
  </si>
  <si>
    <t xml:space="preserve">Training/validation/test data provenance, quality, and bias examination documented</t>
  </si>
  <si>
    <t xml:space="preserve">MAP 2.x; MEASURE 2.6</t>
  </si>
  <si>
    <t xml:space="preserve">A.7.2, A.7.3, A.7.4</t>
  </si>
  <si>
    <t xml:space="preserve">Art. 10 (data and data governance)</t>
  </si>
  <si>
    <t xml:space="preserve">Data cards; provenance records; bias examination report</t>
  </si>
  <si>
    <t xml:space="preserve">AIR-001</t>
  </si>
  <si>
    <t xml:space="preserve">Head of Data Science</t>
  </si>
  <si>
    <t xml:space="preserve">Personal data minimization and access scoping for AI systems that ingest sensitive data</t>
  </si>
  <si>
    <t xml:space="preserve">MAP 1.6; MANAGE 2.x</t>
  </si>
  <si>
    <t xml:space="preserve">A.7.5, A.7.6</t>
  </si>
  <si>
    <t xml:space="preserve">Art. 10(5); GDPR interplay</t>
  </si>
  <si>
    <t xml:space="preserve">PR.DS-01, PR.AA-05</t>
  </si>
  <si>
    <t xml:space="preserve">Access review; DLP config; Copilot index scope</t>
  </si>
  <si>
    <t xml:space="preserve">AIR-009, AIR-010</t>
  </si>
  <si>
    <t xml:space="preserve">CIO</t>
  </si>
  <si>
    <t xml:space="preserve">Fairness</t>
  </si>
  <si>
    <t xml:space="preserve">Disparate-impact testing across protected classes with defined thresholds and remediation triggers</t>
  </si>
  <si>
    <t xml:space="preserve">MEASURE 2.11; MANAGE 2.4</t>
  </si>
  <si>
    <t xml:space="preserve">A.6.2.4, A.5.4</t>
  </si>
  <si>
    <t xml:space="preserve">Art. 10(2)(f)-(g); Art. 15</t>
  </si>
  <si>
    <t xml:space="preserve">Fairness test report; threshold definitions; retraining record</t>
  </si>
  <si>
    <t xml:space="preserve">Transparency</t>
  </si>
  <si>
    <t xml:space="preserve">Disclose AI interaction to natural persons; provide meaningful information on AI-influenced decisions</t>
  </si>
  <si>
    <t xml:space="preserve">MAP 1.6, 5.x; GOVERN 4.x</t>
  </si>
  <si>
    <t xml:space="preserve">A.8.2, A.8.3, A.8.4</t>
  </si>
  <si>
    <t xml:space="preserve">Art. 50 (transparency); Art. 13 (instructions for use); Art. 86 (explanation right)</t>
  </si>
  <si>
    <t xml:space="preserve">Disclosure UX; adverse-action notice template; user documentation</t>
  </si>
  <si>
    <t xml:space="preserve">AIR-002, AIR-007</t>
  </si>
  <si>
    <t xml:space="preserve">Director of Member Services</t>
  </si>
  <si>
    <t xml:space="preserve">Human Oversight</t>
  </si>
  <si>
    <t xml:space="preserve">Effective (not nominal) human oversight with authority and competence to override</t>
  </si>
  <si>
    <t xml:space="preserve">MANAGE 2.4; GOVERN 3.2</t>
  </si>
  <si>
    <t xml:space="preserve">A.9.2, A.9.3</t>
  </si>
  <si>
    <t xml:space="preserve">Art. 14 (human oversight)</t>
  </si>
  <si>
    <t xml:space="preserve">Override rate monitoring; oversight training records; escalation path</t>
  </si>
  <si>
    <t xml:space="preserve">VP Claims / VP People</t>
  </si>
  <si>
    <t xml:space="preserve">Performance</t>
  </si>
  <si>
    <t xml:space="preserve">In-production monitoring for accuracy, drift, and degradation with retraining triggers</t>
  </si>
  <si>
    <t xml:space="preserve">MEASURE 2.5, 2.6, 4.x; MANAGE 4.1</t>
  </si>
  <si>
    <t xml:space="preserve">A.6.2.6, A.6.2.7</t>
  </si>
  <si>
    <t xml:space="preserve">Art. 15 (accuracy, robustness); Art. 72 (post-market monitoring)</t>
  </si>
  <si>
    <t xml:space="preserve">DE.CM (extended)</t>
  </si>
  <si>
    <t xml:space="preserve">Drift dashboards; monthly performance report; retraining log</t>
  </si>
  <si>
    <t xml:space="preserve">AIR-003, AIR-006</t>
  </si>
  <si>
    <t xml:space="preserve">Security</t>
  </si>
  <si>
    <t xml:space="preserve">Adversarial testing incl. prompt injection, data poisoning, model extraction</t>
  </si>
  <si>
    <t xml:space="preserve">MEASURE 2.7; MANAGE 2.x</t>
  </si>
  <si>
    <t xml:space="preserve">A.6.2.6 (extended)</t>
  </si>
  <si>
    <t xml:space="preserve">Art. 15 (cybersecurity)</t>
  </si>
  <si>
    <t xml:space="preserve">ID.RA-01, PR.PS</t>
  </si>
  <si>
    <t xml:space="preserve">Red-team report against OWASP LLM Top 10 / MITRE ATLAS; remediation tracker</t>
  </si>
  <si>
    <t xml:space="preserve">AIR-008</t>
  </si>
  <si>
    <t xml:space="preserve">Third Party</t>
  </si>
  <si>
    <t xml:space="preserve">AI-specific vendor due diligence: training data disclosure, bias audit, transparency documentation</t>
  </si>
  <si>
    <t xml:space="preserve">GOVERN 6.1, 6.2; MAP 4.x</t>
  </si>
  <si>
    <t xml:space="preserve">A.10.2, A.10.3</t>
  </si>
  <si>
    <t xml:space="preserve">Art. 25 (value chain); Art. 13</t>
  </si>
  <si>
    <t xml:space="preserve">GV.SC-06/07</t>
  </si>
  <si>
    <t xml:space="preserve">AI vendor questionnaire; contract clauses; audit report receipt</t>
  </si>
  <si>
    <t xml:space="preserve">AIR-005, AIR-011</t>
  </si>
  <si>
    <t xml:space="preserve">Vendor Risk Manager</t>
  </si>
  <si>
    <t xml:space="preserve">Incident</t>
  </si>
  <si>
    <t xml:space="preserve">AI incident identification, response, and reporting incl. serious-incident notification</t>
  </si>
  <si>
    <t xml:space="preserve">MANAGE 4.3; MEASURE 3.x</t>
  </si>
  <si>
    <t xml:space="preserve">A.6.2.8, A.8.5</t>
  </si>
  <si>
    <t xml:space="preserve">Art. 73 (serious incident reporting)</t>
  </si>
  <si>
    <t xml:space="preserve">RS.MA, RS.CO (extended)</t>
  </si>
  <si>
    <t xml:space="preserve">AI incident taxonomy; playbook; reporting decision tree</t>
  </si>
  <si>
    <t xml:space="preserve">AIR-006, AIR-008</t>
  </si>
  <si>
    <t xml:space="preserve">Documentation</t>
  </si>
  <si>
    <t xml:space="preserve">Technical documentation sufficient for conformity assessment and audit</t>
  </si>
  <si>
    <t xml:space="preserve">GOVERN 1.4; MAP 1.x</t>
  </si>
  <si>
    <t xml:space="preserve">A.6.2.3</t>
  </si>
  <si>
    <t xml:space="preserve">Art. 11 + Annex IV (technical documentation); Art. 12 (logging)</t>
  </si>
  <si>
    <t xml:space="preserve">Model cards; system documentation per Annex IV; decision logs</t>
  </si>
  <si>
    <t xml:space="preserve">AIR-004</t>
  </si>
  <si>
    <t xml:space="preserve">Head of Data Science + Legal</t>
  </si>
  <si>
    <t xml:space="preserve">IMPLEMENTATION SUMMARY</t>
  </si>
  <si>
    <t xml:space="preserve">Status</t>
  </si>
  <si>
    <t xml:space="preserve">Count</t>
  </si>
  <si>
    <t xml:space="preserve">% of Controls</t>
  </si>
  <si>
    <t xml:space="preserve">Implemented</t>
  </si>
  <si>
    <t xml:space="preserve">Reading this</t>
  </si>
  <si>
    <t xml:space="preserve">Zero controls fully implemented is the honest starting posture of an organization that deployed AI before governing it. The value of this crosswalk is that one control implementation — a fairness testing program, say — closes an AI RMF subcategory, an ISO 42001 Annex A control, an EU AI Act article, and a risk register item simultaneously. Build once, evidence four ways.</t>
  </si>
  <si>
    <t xml:space="preserve">CROSSWALK NOTES</t>
  </si>
  <si>
    <t xml:space="preserve">Why four columns</t>
  </si>
  <si>
    <t xml:space="preserve">NIST AI RMF is the method (voluntary, no certification). ISO/IEC 42001 is the certifiable management system that proves the method is real. The EU AI Act is the legal floor. NIST CSF 2.0 is the security program Halcyon already runs — the AI controls extend it rather than duplicating it.</t>
  </si>
  <si>
    <t xml:space="preserve">Mapping principle</t>
  </si>
  <si>
    <t xml:space="preserve">Map to the control objective, not the wording. AI RMF subcategories, 42001 Annex A controls, and AI Act articles overlap heavily but imperfectly; the mapping is many-to-many. Where an AI-specific control has no CSF equivalent, the CSF column reads '—' — that gap is itself a finding: the existing security program was not designed for these risks.</t>
  </si>
  <si>
    <t xml:space="preserve">EU AI Act column</t>
  </si>
  <si>
    <t xml:space="preserve">Cites high-risk obligations (Arts. 9-15) and cross-cutting articles (4, 25, 26, 27, 49, 50, 72, 73, 86). Applicability depends on the system's tier per the inventory. Article numbers reflect the adopted regulation; the May 2026 Digital Omnibus proposal affects timelines, not article structure, but verify before citing.</t>
  </si>
  <si>
    <t xml:space="preserve">Implementation status</t>
  </si>
  <si>
    <t xml:space="preserve">Reflects Halcyon at inventory date. 'Partially' means something exists but was not designed for AI (e.g., generic vendor questionnaire with no AI questions).</t>
  </si>
  <si>
    <t xml:space="preserve">Not legal advice</t>
  </si>
  <si>
    <t xml:space="preserve">Article and clause citations are for demonstration and should be verified against current published texts by qualified counsel before reliance.</t>
  </si>
</sst>
</file>

<file path=xl/styles.xml><?xml version="1.0" encoding="utf-8"?>
<styleSheet xmlns="http://schemas.openxmlformats.org/spreadsheetml/2006/main">
  <numFmts count="2">
    <numFmt numFmtId="164" formatCode="General"/>
    <numFmt numFmtId="165" formatCode="0.0%"/>
  </numFmts>
  <fonts count="10">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10"/>
      <color rgb="FF595959"/>
      <name val="Arial"/>
      <family val="0"/>
      <charset val="1"/>
    </font>
    <font>
      <b val="true"/>
      <sz val="10"/>
      <color rgb="FFFFFFFF"/>
      <name val="Arial"/>
      <family val="0"/>
      <charset val="1"/>
    </font>
    <font>
      <sz val="10"/>
      <name val="Arial"/>
      <family val="0"/>
      <charset val="1"/>
    </font>
    <font>
      <b val="true"/>
      <sz val="11"/>
      <color rgb="FF1F3864"/>
      <name val="Arial"/>
      <family val="0"/>
      <charset val="1"/>
    </font>
    <font>
      <b val="true"/>
      <sz val="10"/>
      <name val="Arial"/>
      <family val="0"/>
      <charset val="1"/>
    </font>
  </fonts>
  <fills count="3">
    <fill>
      <patternFill patternType="none"/>
    </fill>
    <fill>
      <patternFill patternType="gray125"/>
    </fill>
    <fill>
      <patternFill patternType="solid">
        <fgColor rgb="FF1F3864"/>
        <bgColor rgb="FF333333"/>
      </patternFill>
    </fill>
  </fills>
  <borders count="2">
    <border diagonalUp="false" diagonalDown="false">
      <left/>
      <right/>
      <top/>
      <bottom/>
      <diagonal/>
    </border>
    <border diagonalUp="false" diagonalDown="false">
      <left style="thin">
        <color rgb="FFB7B7B7"/>
      </left>
      <right style="thin">
        <color rgb="FFB7B7B7"/>
      </right>
      <top style="thin">
        <color rgb="FFB7B7B7"/>
      </top>
      <bottom style="thin">
        <color rgb="FFB7B7B7"/>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7"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ont>
        <name val="Arial"/>
        <charset val="1"/>
        <family val="0"/>
        <b val="1"/>
        <color rgb="FFFFFFFF"/>
      </font>
      <fill>
        <patternFill>
          <bgColor rgb="FFC00000"/>
        </patternFill>
      </fill>
    </dxf>
    <dxf>
      <font>
        <name val="Arial"/>
        <charset val="1"/>
        <family val="0"/>
        <color rgb="FF000000"/>
      </font>
      <fill>
        <patternFill>
          <bgColor rgb="FFFFC000"/>
        </patternFill>
      </fill>
    </dxf>
    <dxf>
      <font>
        <name val="Arial"/>
        <charset val="1"/>
        <family val="0"/>
        <b val="1"/>
        <color rgb="FFFFFFFF"/>
      </font>
      <fill>
        <patternFill>
          <bgColor rgb="FF70AD47"/>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7B7B7"/>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000"/>
      <rgbColor rgb="FFFF9900"/>
      <rgbColor rgb="FFFF6600"/>
      <rgbColor rgb="FF595959"/>
      <rgbColor rgb="FF70AD47"/>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38"/>
    <col collapsed="false" customWidth="true" hidden="false" outlineLevel="0" max="3" min="3" style="0" width="24"/>
    <col collapsed="false" customWidth="true" hidden="false" outlineLevel="0" max="4" min="4" style="0" width="20"/>
    <col collapsed="false" customWidth="true" hidden="false" outlineLevel="0" max="5" min="5" style="0" width="24"/>
    <col collapsed="false" customWidth="true" hidden="false" outlineLevel="0" max="6" min="6" style="0" width="18"/>
    <col collapsed="false" customWidth="true" hidden="false" outlineLevel="0" max="7" min="7" style="0" width="16"/>
    <col collapsed="false" customWidth="true" hidden="false" outlineLevel="0" max="8" min="8" style="0" width="32"/>
    <col collapsed="false" customWidth="true" hidden="false" outlineLevel="0" max="9" min="9" style="0" width="14"/>
    <col collapsed="false" customWidth="true" hidden="false" outlineLevel="0" max="10" min="10" style="0" width="18"/>
  </cols>
  <sheetData>
    <row r="1" customFormat="false" ht="19.7" hidden="false" customHeight="false" outlineLevel="0" collapsed="false">
      <c r="A1" s="1" t="s">
        <v>0</v>
      </c>
      <c r="B1" s="1"/>
      <c r="C1" s="1"/>
      <c r="D1" s="1"/>
      <c r="E1" s="1"/>
      <c r="F1" s="1"/>
      <c r="G1" s="1"/>
      <c r="H1" s="1"/>
      <c r="I1" s="1"/>
      <c r="J1" s="1"/>
    </row>
    <row r="2" customFormat="false" ht="15" hidden="false" customHeight="false" outlineLevel="0" collapsed="false">
      <c r="A2" s="2" t="s">
        <v>1</v>
      </c>
      <c r="B2" s="2"/>
      <c r="C2" s="2"/>
      <c r="D2" s="2"/>
      <c r="E2" s="2"/>
      <c r="F2" s="2"/>
      <c r="G2" s="2"/>
      <c r="H2" s="2"/>
      <c r="I2" s="2"/>
      <c r="J2" s="2"/>
    </row>
    <row r="4" customFormat="false" ht="23.85" hidden="false" customHeight="false" outlineLevel="0" collapsed="false">
      <c r="A4" s="3" t="s">
        <v>2</v>
      </c>
      <c r="B4" s="3" t="s">
        <v>3</v>
      </c>
      <c r="C4" s="3" t="s">
        <v>4</v>
      </c>
      <c r="D4" s="3" t="s">
        <v>5</v>
      </c>
      <c r="E4" s="3" t="s">
        <v>6</v>
      </c>
      <c r="F4" s="3" t="s">
        <v>7</v>
      </c>
      <c r="G4" s="3" t="s">
        <v>8</v>
      </c>
      <c r="H4" s="3" t="s">
        <v>9</v>
      </c>
      <c r="I4" s="3" t="s">
        <v>10</v>
      </c>
      <c r="J4" s="3" t="s">
        <v>11</v>
      </c>
    </row>
    <row r="5" customFormat="false" ht="23.85" hidden="false" customHeight="false" outlineLevel="0" collapsed="false">
      <c r="A5" s="4" t="s">
        <v>12</v>
      </c>
      <c r="B5" s="4" t="s">
        <v>13</v>
      </c>
      <c r="C5" s="4" t="s">
        <v>14</v>
      </c>
      <c r="D5" s="4" t="s">
        <v>15</v>
      </c>
      <c r="E5" s="4" t="s">
        <v>16</v>
      </c>
      <c r="F5" s="4" t="s">
        <v>17</v>
      </c>
      <c r="G5" s="4" t="s">
        <v>18</v>
      </c>
      <c r="H5" s="4" t="s">
        <v>19</v>
      </c>
      <c r="I5" s="4" t="s">
        <v>20</v>
      </c>
      <c r="J5" s="4" t="s">
        <v>21</v>
      </c>
    </row>
    <row r="6" customFormat="false" ht="35.05" hidden="false" customHeight="false" outlineLevel="0" collapsed="false">
      <c r="A6" s="4" t="s">
        <v>12</v>
      </c>
      <c r="B6" s="4" t="s">
        <v>22</v>
      </c>
      <c r="C6" s="4" t="s">
        <v>23</v>
      </c>
      <c r="D6" s="4" t="s">
        <v>24</v>
      </c>
      <c r="E6" s="4" t="s">
        <v>25</v>
      </c>
      <c r="F6" s="4" t="s">
        <v>26</v>
      </c>
      <c r="G6" s="4" t="s">
        <v>27</v>
      </c>
      <c r="H6" s="4" t="s">
        <v>28</v>
      </c>
      <c r="I6" s="4" t="s">
        <v>20</v>
      </c>
      <c r="J6" s="4" t="s">
        <v>29</v>
      </c>
    </row>
    <row r="7" customFormat="false" ht="35.05" hidden="false" customHeight="false" outlineLevel="0" collapsed="false">
      <c r="A7" s="4" t="s">
        <v>12</v>
      </c>
      <c r="B7" s="4" t="s">
        <v>30</v>
      </c>
      <c r="C7" s="4" t="s">
        <v>31</v>
      </c>
      <c r="D7" s="4" t="s">
        <v>32</v>
      </c>
      <c r="E7" s="4" t="s">
        <v>33</v>
      </c>
      <c r="F7" s="4" t="s">
        <v>34</v>
      </c>
      <c r="G7" s="4" t="s">
        <v>18</v>
      </c>
      <c r="H7" s="4" t="s">
        <v>35</v>
      </c>
      <c r="I7" s="4" t="s">
        <v>36</v>
      </c>
      <c r="J7" s="4" t="s">
        <v>29</v>
      </c>
    </row>
    <row r="8" customFormat="false" ht="23.85" hidden="false" customHeight="false" outlineLevel="0" collapsed="false">
      <c r="A8" s="4" t="s">
        <v>37</v>
      </c>
      <c r="B8" s="4" t="s">
        <v>38</v>
      </c>
      <c r="C8" s="4" t="s">
        <v>39</v>
      </c>
      <c r="D8" s="4" t="s">
        <v>40</v>
      </c>
      <c r="E8" s="4" t="s">
        <v>41</v>
      </c>
      <c r="F8" s="4" t="s">
        <v>42</v>
      </c>
      <c r="G8" s="4" t="s">
        <v>27</v>
      </c>
      <c r="H8" s="4" t="s">
        <v>43</v>
      </c>
      <c r="I8" s="4" t="s">
        <v>44</v>
      </c>
      <c r="J8" s="4" t="s">
        <v>45</v>
      </c>
    </row>
    <row r="9" customFormat="false" ht="23.85" hidden="false" customHeight="false" outlineLevel="0" collapsed="false">
      <c r="A9" s="4" t="s">
        <v>37</v>
      </c>
      <c r="B9" s="4" t="s">
        <v>46</v>
      </c>
      <c r="C9" s="4" t="s">
        <v>47</v>
      </c>
      <c r="D9" s="4" t="s">
        <v>48</v>
      </c>
      <c r="E9" s="4" t="s">
        <v>49</v>
      </c>
      <c r="F9" s="4" t="s">
        <v>50</v>
      </c>
      <c r="G9" s="4" t="s">
        <v>18</v>
      </c>
      <c r="H9" s="4" t="s">
        <v>51</v>
      </c>
      <c r="I9" s="4" t="s">
        <v>52</v>
      </c>
      <c r="J9" s="4" t="s">
        <v>53</v>
      </c>
    </row>
    <row r="10" customFormat="false" ht="23.85" hidden="false" customHeight="false" outlineLevel="0" collapsed="false">
      <c r="A10" s="4" t="s">
        <v>54</v>
      </c>
      <c r="B10" s="4" t="s">
        <v>55</v>
      </c>
      <c r="C10" s="4" t="s">
        <v>56</v>
      </c>
      <c r="D10" s="4" t="s">
        <v>57</v>
      </c>
      <c r="E10" s="4" t="s">
        <v>58</v>
      </c>
      <c r="F10" s="4" t="s">
        <v>50</v>
      </c>
      <c r="G10" s="4" t="s">
        <v>18</v>
      </c>
      <c r="H10" s="4" t="s">
        <v>59</v>
      </c>
      <c r="I10" s="4" t="s">
        <v>60</v>
      </c>
      <c r="J10" s="4" t="s">
        <v>61</v>
      </c>
    </row>
    <row r="11" customFormat="false" ht="35.05" hidden="false" customHeight="false" outlineLevel="0" collapsed="false">
      <c r="A11" s="4" t="s">
        <v>54</v>
      </c>
      <c r="B11" s="4" t="s">
        <v>62</v>
      </c>
      <c r="C11" s="4" t="s">
        <v>63</v>
      </c>
      <c r="D11" s="4" t="s">
        <v>64</v>
      </c>
      <c r="E11" s="4" t="s">
        <v>65</v>
      </c>
      <c r="F11" s="4" t="s">
        <v>66</v>
      </c>
      <c r="G11" s="4" t="s">
        <v>27</v>
      </c>
      <c r="H11" s="4" t="s">
        <v>67</v>
      </c>
      <c r="I11" s="4" t="s">
        <v>68</v>
      </c>
      <c r="J11" s="4" t="s">
        <v>69</v>
      </c>
    </row>
    <row r="12" customFormat="false" ht="35.05" hidden="false" customHeight="false" outlineLevel="0" collapsed="false">
      <c r="A12" s="4" t="s">
        <v>70</v>
      </c>
      <c r="B12" s="4" t="s">
        <v>71</v>
      </c>
      <c r="C12" s="4" t="s">
        <v>72</v>
      </c>
      <c r="D12" s="4" t="s">
        <v>73</v>
      </c>
      <c r="E12" s="4" t="s">
        <v>74</v>
      </c>
      <c r="F12" s="4" t="s">
        <v>50</v>
      </c>
      <c r="G12" s="4" t="s">
        <v>18</v>
      </c>
      <c r="H12" s="4" t="s">
        <v>75</v>
      </c>
      <c r="I12" s="4" t="s">
        <v>52</v>
      </c>
      <c r="J12" s="4" t="s">
        <v>61</v>
      </c>
    </row>
    <row r="13" customFormat="false" ht="35.05" hidden="false" customHeight="false" outlineLevel="0" collapsed="false">
      <c r="A13" s="4" t="s">
        <v>76</v>
      </c>
      <c r="B13" s="4" t="s">
        <v>77</v>
      </c>
      <c r="C13" s="4" t="s">
        <v>78</v>
      </c>
      <c r="D13" s="4" t="s">
        <v>79</v>
      </c>
      <c r="E13" s="4" t="s">
        <v>80</v>
      </c>
      <c r="F13" s="4" t="s">
        <v>50</v>
      </c>
      <c r="G13" s="4" t="s">
        <v>27</v>
      </c>
      <c r="H13" s="4" t="s">
        <v>81</v>
      </c>
      <c r="I13" s="4" t="s">
        <v>82</v>
      </c>
      <c r="J13" s="4" t="s">
        <v>83</v>
      </c>
    </row>
    <row r="14" customFormat="false" ht="23.85" hidden="false" customHeight="false" outlineLevel="0" collapsed="false">
      <c r="A14" s="4" t="s">
        <v>84</v>
      </c>
      <c r="B14" s="4" t="s">
        <v>85</v>
      </c>
      <c r="C14" s="4" t="s">
        <v>86</v>
      </c>
      <c r="D14" s="4" t="s">
        <v>87</v>
      </c>
      <c r="E14" s="4" t="s">
        <v>88</v>
      </c>
      <c r="F14" s="4" t="s">
        <v>50</v>
      </c>
      <c r="G14" s="4" t="s">
        <v>27</v>
      </c>
      <c r="H14" s="4" t="s">
        <v>89</v>
      </c>
      <c r="I14" s="4" t="s">
        <v>52</v>
      </c>
      <c r="J14" s="4" t="s">
        <v>90</v>
      </c>
    </row>
    <row r="15" customFormat="false" ht="35.05" hidden="false" customHeight="false" outlineLevel="0" collapsed="false">
      <c r="A15" s="4" t="s">
        <v>91</v>
      </c>
      <c r="B15" s="4" t="s">
        <v>92</v>
      </c>
      <c r="C15" s="4" t="s">
        <v>93</v>
      </c>
      <c r="D15" s="4" t="s">
        <v>94</v>
      </c>
      <c r="E15" s="4" t="s">
        <v>95</v>
      </c>
      <c r="F15" s="4" t="s">
        <v>96</v>
      </c>
      <c r="G15" s="4" t="s">
        <v>27</v>
      </c>
      <c r="H15" s="4" t="s">
        <v>97</v>
      </c>
      <c r="I15" s="4" t="s">
        <v>98</v>
      </c>
      <c r="J15" s="4" t="s">
        <v>61</v>
      </c>
    </row>
    <row r="16" customFormat="false" ht="35.05" hidden="false" customHeight="false" outlineLevel="0" collapsed="false">
      <c r="A16" s="4" t="s">
        <v>99</v>
      </c>
      <c r="B16" s="4" t="s">
        <v>100</v>
      </c>
      <c r="C16" s="4" t="s">
        <v>101</v>
      </c>
      <c r="D16" s="4" t="s">
        <v>102</v>
      </c>
      <c r="E16" s="4" t="s">
        <v>103</v>
      </c>
      <c r="F16" s="4" t="s">
        <v>104</v>
      </c>
      <c r="G16" s="4" t="s">
        <v>18</v>
      </c>
      <c r="H16" s="4" t="s">
        <v>105</v>
      </c>
      <c r="I16" s="4" t="s">
        <v>106</v>
      </c>
      <c r="J16" s="4" t="s">
        <v>29</v>
      </c>
    </row>
    <row r="17" customFormat="false" ht="35.05" hidden="false" customHeight="false" outlineLevel="0" collapsed="false">
      <c r="A17" s="4" t="s">
        <v>107</v>
      </c>
      <c r="B17" s="4" t="s">
        <v>108</v>
      </c>
      <c r="C17" s="4" t="s">
        <v>109</v>
      </c>
      <c r="D17" s="4" t="s">
        <v>110</v>
      </c>
      <c r="E17" s="4" t="s">
        <v>111</v>
      </c>
      <c r="F17" s="4" t="s">
        <v>112</v>
      </c>
      <c r="G17" s="4" t="s">
        <v>27</v>
      </c>
      <c r="H17" s="4" t="s">
        <v>113</v>
      </c>
      <c r="I17" s="4" t="s">
        <v>114</v>
      </c>
      <c r="J17" s="4" t="s">
        <v>115</v>
      </c>
    </row>
    <row r="18" customFormat="false" ht="23.85" hidden="false" customHeight="false" outlineLevel="0" collapsed="false">
      <c r="A18" s="4" t="s">
        <v>116</v>
      </c>
      <c r="B18" s="4" t="s">
        <v>117</v>
      </c>
      <c r="C18" s="4" t="s">
        <v>118</v>
      </c>
      <c r="D18" s="4" t="s">
        <v>119</v>
      </c>
      <c r="E18" s="4" t="s">
        <v>120</v>
      </c>
      <c r="F18" s="4" t="s">
        <v>121</v>
      </c>
      <c r="G18" s="4" t="s">
        <v>18</v>
      </c>
      <c r="H18" s="4" t="s">
        <v>122</v>
      </c>
      <c r="I18" s="4" t="s">
        <v>123</v>
      </c>
      <c r="J18" s="4" t="s">
        <v>29</v>
      </c>
    </row>
    <row r="19" customFormat="false" ht="35.05" hidden="false" customHeight="false" outlineLevel="0" collapsed="false">
      <c r="A19" s="4" t="s">
        <v>124</v>
      </c>
      <c r="B19" s="4" t="s">
        <v>125</v>
      </c>
      <c r="C19" s="4" t="s">
        <v>126</v>
      </c>
      <c r="D19" s="4" t="s">
        <v>127</v>
      </c>
      <c r="E19" s="4" t="s">
        <v>128</v>
      </c>
      <c r="F19" s="4" t="s">
        <v>50</v>
      </c>
      <c r="G19" s="4" t="s">
        <v>18</v>
      </c>
      <c r="H19" s="4" t="s">
        <v>129</v>
      </c>
      <c r="I19" s="4" t="s">
        <v>130</v>
      </c>
      <c r="J19" s="4" t="s">
        <v>131</v>
      </c>
    </row>
  </sheetData>
  <mergeCells count="2">
    <mergeCell ref="A1:J1"/>
    <mergeCell ref="A2:J2"/>
  </mergeCells>
  <conditionalFormatting sqref="G5:G19">
    <cfRule type="expression" priority="2" aboveAverage="0" equalAverage="0" bottom="0" percent="0" rank="0" text="" dxfId="0">
      <formula>EXACT(G5,"Not Implemented")</formula>
    </cfRule>
    <cfRule type="expression" priority="3" aboveAverage="0" equalAverage="0" bottom="0" percent="0" rank="0" text="" dxfId="1">
      <formula>EXACT(G5,"Partially Implemented")</formula>
    </cfRule>
    <cfRule type="expression" priority="4" aboveAverage="0" equalAverage="0" bottom="0" percent="0" rank="0" text="" dxfId="2">
      <formula>EXACT(G5,"Implemented")</formula>
    </cfRule>
  </conditionalFormatting>
  <dataValidations count="1">
    <dataValidation allowBlank="true" errorStyle="stop" operator="between" showDropDown="false" showErrorMessage="false" showInputMessage="false" sqref="G5:G49" type="list">
      <formula1>"Implemented,Partially Implemented,Not Implemented"</formula1>
      <formula2>0</formula2>
    </dataValidation>
  </dataValidations>
  <printOptions headings="false" gridLines="false" gridLinesSet="true" horizontalCentered="false" verticalCentered="false"/>
  <pageMargins left="0.25" right="0.25" top="0.35" bottom="0.3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14"/>
  </cols>
  <sheetData>
    <row r="1" customFormat="false" ht="19.7" hidden="false" customHeight="false" outlineLevel="0" collapsed="false">
      <c r="A1" s="5" t="s">
        <v>132</v>
      </c>
    </row>
    <row r="3" customFormat="false" ht="15" hidden="false" customHeight="false" outlineLevel="0" collapsed="false">
      <c r="A3" s="3" t="s">
        <v>133</v>
      </c>
      <c r="B3" s="3" t="s">
        <v>134</v>
      </c>
      <c r="C3" s="3" t="s">
        <v>135</v>
      </c>
    </row>
    <row r="4" customFormat="false" ht="15" hidden="false" customHeight="false" outlineLevel="0" collapsed="false">
      <c r="A4" s="4" t="s">
        <v>136</v>
      </c>
      <c r="B4" s="4" t="n">
        <f aca="false">COUNTIF('AI Control Crosswalk'!$G$5:$G$19,A4)</f>
        <v>0</v>
      </c>
      <c r="C4" s="6" t="n">
        <f aca="false">IFERROR(B4/SUM($B$4:$B$6),0)</f>
        <v>0</v>
      </c>
    </row>
    <row r="5" customFormat="false" ht="15" hidden="false" customHeight="false" outlineLevel="0" collapsed="false">
      <c r="A5" s="4" t="s">
        <v>27</v>
      </c>
      <c r="B5" s="4" t="n">
        <f aca="false">COUNTIF('AI Control Crosswalk'!$G$5:$G$19,A5)</f>
        <v>7</v>
      </c>
      <c r="C5" s="6" t="n">
        <f aca="false">IFERROR(B5/SUM($B$4:$B$6),0)</f>
        <v>0.466666666666667</v>
      </c>
    </row>
    <row r="6" customFormat="false" ht="15" hidden="false" customHeight="false" outlineLevel="0" collapsed="false">
      <c r="A6" s="4" t="s">
        <v>18</v>
      </c>
      <c r="B6" s="4" t="n">
        <f aca="false">COUNTIF('AI Control Crosswalk'!$G$5:$G$19,A6)</f>
        <v>8</v>
      </c>
      <c r="C6" s="6" t="n">
        <f aca="false">IFERROR(B6/SUM($B$4:$B$6),0)</f>
        <v>0.533333333333333</v>
      </c>
    </row>
    <row r="8" customFormat="false" ht="15" hidden="false" customHeight="false" outlineLevel="0" collapsed="false">
      <c r="A8" s="7" t="s">
        <v>137</v>
      </c>
    </row>
    <row r="9" customFormat="false" ht="79.5" hidden="false" customHeight="true" outlineLevel="0" collapsed="false">
      <c r="A9" s="8" t="s">
        <v>138</v>
      </c>
      <c r="B9" s="8"/>
      <c r="C9" s="8"/>
    </row>
  </sheetData>
  <mergeCells count="1">
    <mergeCell ref="A9:C9"/>
  </mergeCells>
  <printOptions headings="false" gridLines="false" gridLinesSet="true" horizontalCentered="false" verticalCentered="false"/>
  <pageMargins left="0.25" right="0.25" top="0.35" bottom="0.35"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10"/>
  </cols>
  <sheetData>
    <row r="1" customFormat="false" ht="19.7" hidden="false" customHeight="false" outlineLevel="0" collapsed="false">
      <c r="A1" s="5" t="s">
        <v>139</v>
      </c>
    </row>
    <row r="3" customFormat="false" ht="35.05" hidden="false" customHeight="false" outlineLevel="0" collapsed="false">
      <c r="A3" s="9" t="s">
        <v>140</v>
      </c>
      <c r="B3" s="10" t="s">
        <v>141</v>
      </c>
    </row>
    <row r="4" customFormat="false" ht="35.05" hidden="false" customHeight="false" outlineLevel="0" collapsed="false">
      <c r="A4" s="9" t="s">
        <v>142</v>
      </c>
      <c r="B4" s="10" t="s">
        <v>143</v>
      </c>
    </row>
    <row r="5" customFormat="false" ht="35.05" hidden="false" customHeight="false" outlineLevel="0" collapsed="false">
      <c r="A5" s="9" t="s">
        <v>144</v>
      </c>
      <c r="B5" s="10" t="s">
        <v>145</v>
      </c>
    </row>
    <row r="6" customFormat="false" ht="23.85" hidden="false" customHeight="false" outlineLevel="0" collapsed="false">
      <c r="A6" s="9" t="s">
        <v>146</v>
      </c>
      <c r="B6" s="10" t="s">
        <v>147</v>
      </c>
    </row>
    <row r="7" customFormat="false" ht="23.85" hidden="false" customHeight="false" outlineLevel="0" collapsed="false">
      <c r="A7" s="9" t="s">
        <v>148</v>
      </c>
      <c r="B7" s="10" t="s">
        <v>149</v>
      </c>
    </row>
  </sheetData>
  <printOptions headings="false" gridLines="false" gridLinesSet="true" horizontalCentered="false" verticalCentered="false"/>
  <pageMargins left="0.25" right="0.25" top="0.35" bottom="0.35"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2026-08-17T20:12:26Z</dcterms:created>
  <dc:creator>openpyxl</dc:creator>
  <dc:description/>
  <dc:language>en-US</dc:language>
  <cp:lastModifiedBy/>
  <dcterms:modified xsi:type="dcterms:W3CDTF">2026-08-17T20:12:27Z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