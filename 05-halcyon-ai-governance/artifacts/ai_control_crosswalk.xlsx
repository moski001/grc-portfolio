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AI Control Crosswalk" sheetId="1" state="visible" r:id="rId1"/>
    <sheet xmlns:r="http://schemas.openxmlformats.org/officeDocument/2006/relationships" name="Summary" sheetId="2" state="visible" r:id="rId2"/>
    <sheet xmlns:r="http://schemas.openxmlformats.org/officeDocument/2006/relationships" name="Legend" sheetId="3" state="visible" r:id="rId3"/>
  </sheets>
  <definedNames>
    <definedName name="_xlnm.Print_Area" localSheetId="0">'AI Control Crosswalk'!$A$1:$J$19</definedName>
    <definedName name="_xlnm.Print_Area" localSheetId="1">'Summary'!$A$1:$C$9</definedName>
    <definedName name="_xlnm.Print_Area" localSheetId="2">'Legend'!$A$1:$B$9</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10">
    <font>
      <name val="Calibri"/>
      <charset val="1"/>
      <family val="2"/>
      <color theme="1"/>
      <sz val="11"/>
    </font>
    <font>
      <name val="Arial"/>
      <family val="0"/>
      <sz val="10"/>
    </font>
    <font>
      <name val="Arial"/>
      <family val="0"/>
      <sz val="10"/>
    </font>
    <font>
      <name val="Arial"/>
      <family val="0"/>
      <sz val="10"/>
    </font>
    <font>
      <name val="Arial"/>
      <charset val="1"/>
      <family val="0"/>
      <b val="1"/>
      <color rgb="FF1F3864"/>
      <sz val="16"/>
    </font>
    <font>
      <name val="Arial"/>
      <charset val="1"/>
      <family val="0"/>
      <i val="1"/>
      <color rgb="FF595959"/>
      <sz val="10"/>
    </font>
    <font>
      <name val="Arial"/>
      <charset val="1"/>
      <family val="0"/>
      <b val="1"/>
      <color rgb="FFFFFFFF"/>
      <sz val="10"/>
    </font>
    <font>
      <name val="Arial"/>
      <charset val="1"/>
      <family val="0"/>
      <sz val="10"/>
    </font>
    <font>
      <name val="Arial"/>
      <charset val="1"/>
      <family val="0"/>
      <b val="1"/>
      <color rgb="FF1F3864"/>
      <sz val="11"/>
    </font>
    <font>
      <name val="Arial"/>
      <charset val="1"/>
      <family val="0"/>
      <b val="1"/>
      <sz val="10"/>
    </font>
  </fonts>
  <fills count="3">
    <fill>
      <patternFill/>
    </fill>
    <fill>
      <patternFill patternType="gray125"/>
    </fill>
    <fill>
      <patternFill patternType="solid">
        <fgColor rgb="FF1F3864"/>
        <bgColor rgb="FF333333"/>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1">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center" vertical="center" wrapText="1"/>
    </xf>
    <xf numFmtId="0" fontId="7" fillId="0" borderId="1" applyAlignment="1" pivotButton="0" quotePrefix="0" xfId="0">
      <alignment horizontal="general" vertical="top" wrapText="1"/>
    </xf>
    <xf numFmtId="0" fontId="4" fillId="0" borderId="0" applyAlignment="1" pivotButton="0" quotePrefix="0" xfId="0">
      <alignment horizontal="general" vertical="bottom"/>
    </xf>
    <xf numFmtId="164" fontId="7" fillId="0" borderId="1" applyAlignment="1" pivotButton="0" quotePrefix="0" xfId="0">
      <alignment horizontal="general" vertical="top" wrapText="1"/>
    </xf>
    <xf numFmtId="0" fontId="8" fillId="0" borderId="0" applyAlignment="1" pivotButton="0" quotePrefix="0" xfId="0">
      <alignment horizontal="general" vertical="bottom"/>
    </xf>
    <xf numFmtId="0" fontId="7" fillId="0" borderId="0" applyAlignment="1" pivotButton="0" quotePrefix="0" xfId="0">
      <alignment horizontal="general" vertical="top" wrapText="1"/>
    </xf>
    <xf numFmtId="0" fontId="9" fillId="0" borderId="0" applyAlignment="1" pivotButton="0" quotePrefix="0" xfId="0">
      <alignment horizontal="general" vertical="bottom"/>
    </xf>
    <xf numFmtId="0" fontId="7"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center" vertical="center" wrapText="1"/>
    </xf>
    <xf numFmtId="0" fontId="7" fillId="0" borderId="1" applyAlignment="1" pivotButton="0" quotePrefix="0" xfId="0">
      <alignment horizontal="general" vertical="top" wrapText="1"/>
    </xf>
    <xf numFmtId="164" fontId="7" fillId="0" borderId="1" applyAlignment="1" pivotButton="0" quotePrefix="0" xfId="0">
      <alignment horizontal="general" vertical="top" wrapText="1"/>
    </xf>
    <xf numFmtId="0" fontId="8" fillId="0" borderId="0" applyAlignment="1" pivotButton="0" quotePrefix="0" xfId="0">
      <alignment horizontal="general" vertical="bottom"/>
    </xf>
    <xf numFmtId="0" fontId="7" fillId="0" borderId="0" applyAlignment="1" pivotButton="0" quotePrefix="0" xfId="0">
      <alignment horizontal="general" vertical="top" wrapText="1"/>
    </xf>
    <xf numFmtId="0" fontId="9"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3">
    <dxf>
      <font>
        <name val="Arial"/>
        <charset val="1"/>
        <family val="0"/>
        <b val="1"/>
        <color rgb="FFFFFFFF"/>
      </font>
      <fill>
        <patternFill>
          <bgColor rgb="FFC00000"/>
        </patternFill>
      </fill>
    </dxf>
    <dxf>
      <font>
        <name val="Arial"/>
        <charset val="1"/>
        <family val="0"/>
        <color rgb="FF000000"/>
      </font>
      <fill>
        <patternFill>
          <bgColor rgb="FFFFC000"/>
        </patternFill>
      </fill>
    </dxf>
    <dxf>
      <font>
        <name val="Arial"/>
        <charset val="1"/>
        <family val="0"/>
        <b val="1"/>
        <color rgb="FFFFFFFF"/>
      </font>
      <fill>
        <patternFill>
          <bgColor rgb="FF70AD47"/>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000"/>
      <rgbColor rgb="FFFF9900"/>
      <rgbColor rgb="FFFF6600"/>
      <rgbColor rgb="FF595959"/>
      <rgbColor rgb="FF70AD47"/>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1"/>
  </sheetPr>
  <dimension ref="A1:J19"/>
  <sheetViews>
    <sheetView showFormulas="0" showGridLines="1" showRowColHeaders="1" showZeros="1" rightToLeft="0" tabSelected="1"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6796875" defaultRowHeight="15" zeroHeight="0" outlineLevelRow="0"/>
  <cols>
    <col width="20" customWidth="1" style="11" min="1" max="1"/>
    <col width="38" customWidth="1" style="11" min="2" max="2"/>
    <col width="24" customWidth="1" style="11" min="3" max="3"/>
    <col width="20" customWidth="1" style="11" min="4" max="4"/>
    <col width="24" customWidth="1" style="11" min="5" max="5"/>
    <col width="18" customWidth="1" style="11" min="6" max="6"/>
    <col width="16" customWidth="1" style="11" min="7" max="7"/>
    <col width="32" customWidth="1" style="11" min="8" max="8"/>
    <col width="14" customWidth="1" style="11" min="9" max="9"/>
    <col width="18" customWidth="1" style="11" min="10" max="10"/>
  </cols>
  <sheetData>
    <row r="1" ht="19.7" customHeight="1" s="12">
      <c r="A1" s="13" t="inlineStr">
        <is>
          <t>HALCYON BENEFITS GROUP — AI GOVERNANCE CONTROL CROSSWALK</t>
        </is>
      </c>
    </row>
    <row r="2" ht="15" customHeight="1" s="12">
      <c r="A2" s="14" t="inlineStr">
        <is>
          <t>Sample GRC portfolio artifact | Maps each control objective across NIST AI RMF, ISO/IEC 42001 Annex A, EU AI Act as amended by Reg. (EU) 2026/1744, and the existing NIST CSF 2.0 program | Verify citations against current published texts</t>
        </is>
      </c>
    </row>
    <row r="4" ht="23.85" customHeight="1" s="12">
      <c r="A4" s="15" t="inlineStr">
        <is>
          <t>Control Domain</t>
        </is>
      </c>
      <c r="B4" s="15" t="inlineStr">
        <is>
          <t>Control Objective</t>
        </is>
      </c>
      <c r="C4" s="15" t="inlineStr">
        <is>
          <t>NIST AI RMF (Function / Subcategory)</t>
        </is>
      </c>
      <c r="D4" s="15" t="inlineStr">
        <is>
          <t>ISO/IEC 42001 Annex A</t>
        </is>
      </c>
      <c r="E4" s="15" t="inlineStr">
        <is>
          <t>EU AI Act (Article — high-risk unless noted)</t>
        </is>
      </c>
      <c r="F4" s="15" t="inlineStr">
        <is>
          <t>NIST CSF 2.0 (existing program)</t>
        </is>
      </c>
      <c r="G4" s="15" t="inlineStr">
        <is>
          <t>Implementation Status</t>
        </is>
      </c>
      <c r="H4" s="15" t="inlineStr">
        <is>
          <t>Evidence Expected</t>
        </is>
      </c>
      <c r="I4" s="15" t="inlineStr">
        <is>
          <t>Related Risk IDs</t>
        </is>
      </c>
      <c r="J4" s="15" t="inlineStr">
        <is>
          <t>Owner</t>
        </is>
      </c>
    </row>
    <row r="5" ht="23.85" customHeight="1" s="12">
      <c r="A5" s="16" t="inlineStr">
        <is>
          <t>Governance</t>
        </is>
      </c>
      <c r="B5" s="16" t="inlineStr">
        <is>
          <t>Establish accountable AI governance body with defined roles, policy, and risk tolerance</t>
        </is>
      </c>
      <c r="C5" s="16" t="inlineStr">
        <is>
          <t>GOVERN 1.1, 1.2, 2.1, 3.1</t>
        </is>
      </c>
      <c r="D5" s="16" t="inlineStr">
        <is>
          <t>A.2.2, A.2.3, A.3.2</t>
        </is>
      </c>
      <c r="E5" s="16" t="inlineStr">
        <is>
          <t>Art. 9 (risk mgmt system) — organizational prerequisite</t>
        </is>
      </c>
      <c r="F5" s="16" t="inlineStr">
        <is>
          <t>GV.RR, GV.RM</t>
        </is>
      </c>
      <c r="G5" s="16" t="inlineStr">
        <is>
          <t>Not Implemented</t>
        </is>
      </c>
      <c r="H5" s="16" t="inlineStr">
        <is>
          <t>Committee charter; AI policy; RACI; meeting minutes</t>
        </is>
      </c>
      <c r="I5" s="16" t="inlineStr">
        <is>
          <t>AIR-012</t>
        </is>
      </c>
      <c r="J5" s="16" t="inlineStr">
        <is>
          <t>General Counsel</t>
        </is>
      </c>
    </row>
    <row r="6" ht="35.05" customHeight="1" s="12">
      <c r="A6" s="16" t="inlineStr">
        <is>
          <t>Governance</t>
        </is>
      </c>
      <c r="B6" s="16" t="inlineStr">
        <is>
          <t>Maintain a complete inventory of AI systems with classification and ownership</t>
        </is>
      </c>
      <c r="C6" s="16" t="inlineStr">
        <is>
          <t>MAP 1.1, 1.6; GOVERN 1.6</t>
        </is>
      </c>
      <c r="D6" s="16" t="inlineStr">
        <is>
          <t>A.4.2, A.4.3</t>
        </is>
      </c>
      <c r="E6" s="16" t="inlineStr">
        <is>
          <t>Art. 49 (registration, high-risk); Art. 26 (deployer obligations)</t>
        </is>
      </c>
      <c r="F6" s="16" t="inlineStr">
        <is>
          <t>ID.AM-01/02 (extended)</t>
        </is>
      </c>
      <c r="G6" s="16" t="inlineStr">
        <is>
          <t>Partially Implemented</t>
        </is>
      </c>
      <c r="H6" s="16" t="inlineStr">
        <is>
          <t>AI System Inventory (this package); quarterly refresh record</t>
        </is>
      </c>
      <c r="I6" s="16" t="inlineStr">
        <is>
          <t>AIR-012</t>
        </is>
      </c>
      <c r="J6" s="16" t="inlineStr">
        <is>
          <t>CISO</t>
        </is>
      </c>
    </row>
    <row r="7" ht="35.05" customHeight="1" s="12">
      <c r="A7" s="16" t="inlineStr">
        <is>
          <t>Governance</t>
        </is>
      </c>
      <c r="B7" s="16" t="inlineStr">
        <is>
          <t>Acceptable use policy for AI tools, incl. prohibition on consumer tools for sensitive data</t>
        </is>
      </c>
      <c r="C7" s="16" t="inlineStr">
        <is>
          <t>GOVERN 1.1, 4.1</t>
        </is>
      </c>
      <c r="D7" s="16" t="inlineStr">
        <is>
          <t>A.2.2, A.6.2.5</t>
        </is>
      </c>
      <c r="E7" s="16" t="inlineStr">
        <is>
          <t>Art. 4 (AI literacy) — supporting</t>
        </is>
      </c>
      <c r="F7" s="16" t="inlineStr">
        <is>
          <t>GV.PO, PR.AT</t>
        </is>
      </c>
      <c r="G7" s="16" t="inlineStr">
        <is>
          <t>Not Implemented</t>
        </is>
      </c>
      <c r="H7" s="16" t="inlineStr">
        <is>
          <t>Signed policy; attestation records; CASB block rules</t>
        </is>
      </c>
      <c r="I7" s="16" t="inlineStr">
        <is>
          <t>AIR-010</t>
        </is>
      </c>
      <c r="J7" s="16" t="inlineStr">
        <is>
          <t>CISO</t>
        </is>
      </c>
    </row>
    <row r="8" ht="23.85" customHeight="1" s="12">
      <c r="A8" s="16" t="inlineStr">
        <is>
          <t>Risk Management</t>
        </is>
      </c>
      <c r="B8" s="16" t="inlineStr">
        <is>
          <t>Perform documented AI risk assessment per system, refreshed on material change</t>
        </is>
      </c>
      <c r="C8" s="16" t="inlineStr">
        <is>
          <t>MAP 5.1; MEASURE 2.x; MANAGE 1.x</t>
        </is>
      </c>
      <c r="D8" s="16" t="inlineStr">
        <is>
          <t>A.5.2, A.5.3, A.5.4</t>
        </is>
      </c>
      <c r="E8" s="16" t="inlineStr">
        <is>
          <t>Art. 9 (risk mgmt system, continuous)</t>
        </is>
      </c>
      <c r="F8" s="16" t="inlineStr">
        <is>
          <t>ID.RA</t>
        </is>
      </c>
      <c r="G8" s="16" t="inlineStr">
        <is>
          <t>Partially Implemented</t>
        </is>
      </c>
      <c r="H8" s="16" t="inlineStr">
        <is>
          <t>AI Risk Assessment (this package); change-triggered reassessment log</t>
        </is>
      </c>
      <c r="I8" s="16" t="inlineStr">
        <is>
          <t>All</t>
        </is>
      </c>
      <c r="J8" s="16" t="inlineStr">
        <is>
          <t>GRC Lead</t>
        </is>
      </c>
    </row>
    <row r="9" ht="23.85" customHeight="1" s="12">
      <c r="A9" s="16" t="inlineStr">
        <is>
          <t>Risk Management</t>
        </is>
      </c>
      <c r="B9" s="16" t="inlineStr">
        <is>
          <t>Fundamental rights / algorithmic impact assessment for high-risk uses</t>
        </is>
      </c>
      <c r="C9" s="16" t="inlineStr">
        <is>
          <t>MAP 1.1, 3.x; MEASURE 2.11</t>
        </is>
      </c>
      <c r="D9" s="16" t="inlineStr">
        <is>
          <t>A.5.4, A.5.5</t>
        </is>
      </c>
      <c r="E9" s="16" t="inlineStr">
        <is>
          <t>Art. 27 (FRIA — deployers of certain high-risk systems)</t>
        </is>
      </c>
      <c r="F9" s="16" t="inlineStr">
        <is>
          <t>—</t>
        </is>
      </c>
      <c r="G9" s="16" t="inlineStr">
        <is>
          <t>Not Implemented</t>
        </is>
      </c>
      <c r="H9" s="16" t="inlineStr">
        <is>
          <t>Completed impact assessment per high-risk system</t>
        </is>
      </c>
      <c r="I9" s="16" t="inlineStr">
        <is>
          <t>AIR-001, AIR-005</t>
        </is>
      </c>
      <c r="J9" s="16" t="inlineStr">
        <is>
          <t>GRC Lead + Legal</t>
        </is>
      </c>
    </row>
    <row r="10" ht="23.85" customHeight="1" s="12">
      <c r="A10" s="16" t="inlineStr">
        <is>
          <t>Data Governance</t>
        </is>
      </c>
      <c r="B10" s="16" t="inlineStr">
        <is>
          <t>Training/validation/test data provenance, quality, and bias examination documented</t>
        </is>
      </c>
      <c r="C10" s="16" t="inlineStr">
        <is>
          <t>MAP 2.x; MEASURE 2.6</t>
        </is>
      </c>
      <c r="D10" s="16" t="inlineStr">
        <is>
          <t>A.7.2, A.7.3, A.7.4</t>
        </is>
      </c>
      <c r="E10" s="16" t="inlineStr">
        <is>
          <t>Art. 10 (data and data governance)</t>
        </is>
      </c>
      <c r="F10" s="16" t="inlineStr">
        <is>
          <t>—</t>
        </is>
      </c>
      <c r="G10" s="16" t="inlineStr">
        <is>
          <t>Not Implemented</t>
        </is>
      </c>
      <c r="H10" s="16" t="inlineStr">
        <is>
          <t>Data cards; provenance records; bias examination report</t>
        </is>
      </c>
      <c r="I10" s="16" t="inlineStr">
        <is>
          <t>AIR-001</t>
        </is>
      </c>
      <c r="J10" s="16" t="inlineStr">
        <is>
          <t>Head of Data Science</t>
        </is>
      </c>
    </row>
    <row r="11" ht="35.05" customHeight="1" s="12">
      <c r="A11" s="16" t="inlineStr">
        <is>
          <t>Data Governance</t>
        </is>
      </c>
      <c r="B11" s="16" t="inlineStr">
        <is>
          <t>Personal data minimization and access scoping for AI systems that ingest sensitive data</t>
        </is>
      </c>
      <c r="C11" s="16" t="inlineStr">
        <is>
          <t>MAP 1.6; MANAGE 2.x</t>
        </is>
      </c>
      <c r="D11" s="16" t="inlineStr">
        <is>
          <t>A.7.5, A.7.6</t>
        </is>
      </c>
      <c r="E11" s="16" t="inlineStr">
        <is>
          <t>Art. 10(5); GDPR interplay</t>
        </is>
      </c>
      <c r="F11" s="16" t="inlineStr">
        <is>
          <t>PR.DS-01, PR.AA-05</t>
        </is>
      </c>
      <c r="G11" s="16" t="inlineStr">
        <is>
          <t>Partially Implemented</t>
        </is>
      </c>
      <c r="H11" s="16" t="inlineStr">
        <is>
          <t>Access review; DLP config; Copilot index scope</t>
        </is>
      </c>
      <c r="I11" s="16" t="inlineStr">
        <is>
          <t>AIR-009, AIR-010</t>
        </is>
      </c>
      <c r="J11" s="16" t="inlineStr">
        <is>
          <t>CIO</t>
        </is>
      </c>
    </row>
    <row r="12" ht="35.05" customHeight="1" s="12">
      <c r="A12" s="16" t="inlineStr">
        <is>
          <t>Fairness</t>
        </is>
      </c>
      <c r="B12" s="16" t="inlineStr">
        <is>
          <t>Disparate-impact testing across protected classes with defined thresholds and remediation triggers</t>
        </is>
      </c>
      <c r="C12" s="16" t="inlineStr">
        <is>
          <t>MEASURE 2.11; MANAGE 2.4</t>
        </is>
      </c>
      <c r="D12" s="16" t="inlineStr">
        <is>
          <t>A.6.2.4, A.5.4</t>
        </is>
      </c>
      <c r="E12" s="16" t="inlineStr">
        <is>
          <t>Art. 10(2)(f)-(g); Art. 15</t>
        </is>
      </c>
      <c r="F12" s="16" t="inlineStr">
        <is>
          <t>—</t>
        </is>
      </c>
      <c r="G12" s="16" t="inlineStr">
        <is>
          <t>Not Implemented</t>
        </is>
      </c>
      <c r="H12" s="16" t="inlineStr">
        <is>
          <t>Fairness test report; threshold definitions; retraining record</t>
        </is>
      </c>
      <c r="I12" s="16" t="inlineStr">
        <is>
          <t>AIR-001, AIR-005</t>
        </is>
      </c>
      <c r="J12" s="16" t="inlineStr">
        <is>
          <t>Head of Data Science</t>
        </is>
      </c>
    </row>
    <row r="13" ht="35.05" customHeight="1" s="12">
      <c r="A13" s="16" t="inlineStr">
        <is>
          <t>Transparency</t>
        </is>
      </c>
      <c r="B13" s="16" t="inlineStr">
        <is>
          <t>Disclose AI interaction to natural persons; provide meaningful information on AI-influenced decisions</t>
        </is>
      </c>
      <c r="C13" s="16" t="inlineStr">
        <is>
          <t>MAP 1.6, 5.x; GOVERN 4.x</t>
        </is>
      </c>
      <c r="D13" s="16" t="inlineStr">
        <is>
          <t>A.8.2, A.8.3, A.8.4</t>
        </is>
      </c>
      <c r="E13" s="16" t="inlineStr">
        <is>
          <t>Art. 50 (transparency); Art. 13 (instructions for use); Art. 86 (explanation right)</t>
        </is>
      </c>
      <c r="F13" s="16" t="inlineStr">
        <is>
          <t>—</t>
        </is>
      </c>
      <c r="G13" s="16" t="inlineStr">
        <is>
          <t>Partially Implemented</t>
        </is>
      </c>
      <c r="H13" s="16" t="inlineStr">
        <is>
          <t>Disclosure UX; adverse-action notice template; user documentation</t>
        </is>
      </c>
      <c r="I13" s="16" t="inlineStr">
        <is>
          <t>AIR-002, AIR-007</t>
        </is>
      </c>
      <c r="J13" s="16" t="inlineStr">
        <is>
          <t>Director of Member Services</t>
        </is>
      </c>
    </row>
    <row r="14" ht="23.85" customHeight="1" s="12">
      <c r="A14" s="16" t="inlineStr">
        <is>
          <t>Human Oversight</t>
        </is>
      </c>
      <c r="B14" s="16" t="inlineStr">
        <is>
          <t>Effective (not nominal) human oversight with authority and competence to override</t>
        </is>
      </c>
      <c r="C14" s="16" t="inlineStr">
        <is>
          <t>MANAGE 2.4; GOVERN 3.2</t>
        </is>
      </c>
      <c r="D14" s="16" t="inlineStr">
        <is>
          <t>A.9.2, A.9.3</t>
        </is>
      </c>
      <c r="E14" s="16" t="inlineStr">
        <is>
          <t>Art. 14 (human oversight)</t>
        </is>
      </c>
      <c r="F14" s="16" t="inlineStr">
        <is>
          <t>—</t>
        </is>
      </c>
      <c r="G14" s="16" t="inlineStr">
        <is>
          <t>Partially Implemented</t>
        </is>
      </c>
      <c r="H14" s="16" t="inlineStr">
        <is>
          <t>Override rate monitoring; oversight training records; escalation path</t>
        </is>
      </c>
      <c r="I14" s="16" t="inlineStr">
        <is>
          <t>AIR-001, AIR-005</t>
        </is>
      </c>
      <c r="J14" s="16" t="inlineStr">
        <is>
          <t>VP Claims / VP People</t>
        </is>
      </c>
    </row>
    <row r="15" ht="35.05" customHeight="1" s="12">
      <c r="A15" s="16" t="inlineStr">
        <is>
          <t>Performance</t>
        </is>
      </c>
      <c r="B15" s="16" t="inlineStr">
        <is>
          <t>In-production monitoring for accuracy, drift, and degradation with retraining triggers</t>
        </is>
      </c>
      <c r="C15" s="16" t="inlineStr">
        <is>
          <t>MEASURE 2.5, 2.6, 4.x; MANAGE 4.1</t>
        </is>
      </c>
      <c r="D15" s="16" t="inlineStr">
        <is>
          <t>A.6.2.6, A.6.2.7</t>
        </is>
      </c>
      <c r="E15" s="16" t="inlineStr">
        <is>
          <t>Art. 15 (accuracy, robustness); Art. 72 (post-market monitoring)</t>
        </is>
      </c>
      <c r="F15" s="16" t="inlineStr">
        <is>
          <t>DE.CM (extended)</t>
        </is>
      </c>
      <c r="G15" s="16" t="inlineStr">
        <is>
          <t>Partially Implemented</t>
        </is>
      </c>
      <c r="H15" s="16" t="inlineStr">
        <is>
          <t>Drift dashboards; monthly performance report; retraining log</t>
        </is>
      </c>
      <c r="I15" s="16" t="inlineStr">
        <is>
          <t>AIR-003, AIR-006</t>
        </is>
      </c>
      <c r="J15" s="16" t="inlineStr">
        <is>
          <t>Head of Data Science</t>
        </is>
      </c>
    </row>
    <row r="16" ht="35.05" customHeight="1" s="12">
      <c r="A16" s="16" t="inlineStr">
        <is>
          <t>Security</t>
        </is>
      </c>
      <c r="B16" s="16" t="inlineStr">
        <is>
          <t>Adversarial testing incl. prompt injection, data poisoning, model extraction</t>
        </is>
      </c>
      <c r="C16" s="16" t="inlineStr">
        <is>
          <t>MEASURE 2.7; MANAGE 2.x</t>
        </is>
      </c>
      <c r="D16" s="16" t="inlineStr">
        <is>
          <t>A.6.2.6 (extended)</t>
        </is>
      </c>
      <c r="E16" s="16" t="inlineStr">
        <is>
          <t>Art. 15 (cybersecurity)</t>
        </is>
      </c>
      <c r="F16" s="16" t="inlineStr">
        <is>
          <t>ID.RA-01, PR.PS</t>
        </is>
      </c>
      <c r="G16" s="16" t="inlineStr">
        <is>
          <t>Not Implemented</t>
        </is>
      </c>
      <c r="H16" s="16" t="inlineStr">
        <is>
          <t>Red-team report against OWASP LLM Top 10 / MITRE ATLAS; remediation tracker</t>
        </is>
      </c>
      <c r="I16" s="16" t="inlineStr">
        <is>
          <t>AIR-008</t>
        </is>
      </c>
      <c r="J16" s="16" t="inlineStr">
        <is>
          <t>CISO</t>
        </is>
      </c>
    </row>
    <row r="17" ht="35.05" customHeight="1" s="12">
      <c r="A17" s="16" t="inlineStr">
        <is>
          <t>Third Party</t>
        </is>
      </c>
      <c r="B17" s="16" t="inlineStr">
        <is>
          <t>AI-specific vendor due diligence: training data disclosure, bias audit, transparency documentation</t>
        </is>
      </c>
      <c r="C17" s="16" t="inlineStr">
        <is>
          <t>GOVERN 6.1, 6.2; MAP 4.x</t>
        </is>
      </c>
      <c r="D17" s="16" t="inlineStr">
        <is>
          <t>A.10.2, A.10.3</t>
        </is>
      </c>
      <c r="E17" s="16" t="inlineStr">
        <is>
          <t>Art. 25 (value chain); Art. 13</t>
        </is>
      </c>
      <c r="F17" s="16" t="inlineStr">
        <is>
          <t>GV.SC-06/07</t>
        </is>
      </c>
      <c r="G17" s="16" t="inlineStr">
        <is>
          <t>Partially Implemented</t>
        </is>
      </c>
      <c r="H17" s="16" t="inlineStr">
        <is>
          <t>AI vendor questionnaire; contract clauses; audit report receipt</t>
        </is>
      </c>
      <c r="I17" s="16" t="inlineStr">
        <is>
          <t>AIR-005, AIR-011</t>
        </is>
      </c>
      <c r="J17" s="16" t="inlineStr">
        <is>
          <t>Vendor Risk Manager</t>
        </is>
      </c>
    </row>
    <row r="18" ht="23.85" customHeight="1" s="12">
      <c r="A18" s="16" t="inlineStr">
        <is>
          <t>Incident</t>
        </is>
      </c>
      <c r="B18" s="16" t="inlineStr">
        <is>
          <t>AI incident identification, response, and reporting incl. serious-incident notification</t>
        </is>
      </c>
      <c r="C18" s="16" t="inlineStr">
        <is>
          <t>MANAGE 4.3; MEASURE 3.x</t>
        </is>
      </c>
      <c r="D18" s="16" t="inlineStr">
        <is>
          <t>A.6.2.8, A.8.5</t>
        </is>
      </c>
      <c r="E18" s="16" t="inlineStr">
        <is>
          <t>Art. 73 (serious incident reporting)</t>
        </is>
      </c>
      <c r="F18" s="16" t="inlineStr">
        <is>
          <t>RS.MA, RS.CO (extended)</t>
        </is>
      </c>
      <c r="G18" s="16" t="inlineStr">
        <is>
          <t>Not Implemented</t>
        </is>
      </c>
      <c r="H18" s="16" t="inlineStr">
        <is>
          <t>AI incident taxonomy; playbook; reporting decision tree</t>
        </is>
      </c>
      <c r="I18" s="16" t="inlineStr">
        <is>
          <t>AIR-006, AIR-008</t>
        </is>
      </c>
      <c r="J18" s="16" t="inlineStr">
        <is>
          <t>CISO</t>
        </is>
      </c>
    </row>
    <row r="19" ht="35.05" customHeight="1" s="12">
      <c r="A19" s="16" t="inlineStr">
        <is>
          <t>Documentation</t>
        </is>
      </c>
      <c r="B19" s="16" t="inlineStr">
        <is>
          <t>Technical documentation sufficient for conformity assessment and audit</t>
        </is>
      </c>
      <c r="C19" s="16" t="inlineStr">
        <is>
          <t>GOVERN 1.4; MAP 1.x</t>
        </is>
      </c>
      <c r="D19" s="16" t="inlineStr">
        <is>
          <t>A.6.2.3</t>
        </is>
      </c>
      <c r="E19" s="16" t="inlineStr">
        <is>
          <t>Art. 11 + Annex IV (technical documentation); Art. 12 (logging)</t>
        </is>
      </c>
      <c r="F19" s="16" t="inlineStr">
        <is>
          <t>—</t>
        </is>
      </c>
      <c r="G19" s="16" t="inlineStr">
        <is>
          <t>Not Implemented</t>
        </is>
      </c>
      <c r="H19" s="16" t="inlineStr">
        <is>
          <t>Model cards; system documentation per Annex IV; decision logs</t>
        </is>
      </c>
      <c r="I19" s="16" t="inlineStr">
        <is>
          <t>AIR-004</t>
        </is>
      </c>
      <c r="J19" s="16" t="inlineStr">
        <is>
          <t>Head of Data Science + Legal</t>
        </is>
      </c>
    </row>
  </sheetData>
  <mergeCells count="2">
    <mergeCell ref="A1:J1"/>
    <mergeCell ref="A2:J2"/>
  </mergeCells>
  <conditionalFormatting sqref="G5:G19">
    <cfRule type="expression" rank="0" priority="2" equalAverage="0" aboveAverage="0" dxfId="0" text="" percent="0" bottom="0">
      <formula>EXACT(G5,"Not Implemented")</formula>
    </cfRule>
    <cfRule type="expression" rank="0" priority="3" equalAverage="0" aboveAverage="0" dxfId="1" text="" percent="0" bottom="0">
      <formula>EXACT(G5,"Partially Implemented")</formula>
    </cfRule>
    <cfRule type="expression" rank="0" priority="4" equalAverage="0" aboveAverage="0" dxfId="2" text="" percent="0" bottom="0">
      <formula>EXACT(G5,"Implemented")</formula>
    </cfRule>
  </conditionalFormatting>
  <dataValidations count="1">
    <dataValidation sqref="G5:G49" showDropDown="0" showInputMessage="0" showErrorMessage="0" allowBlank="1" type="list" errorStyle="stop" operator="between">
      <formula1>"Implemented,Partially Implemented,Not Implemented"</formula1>
      <formula2>0</formula2>
    </dataValidation>
  </dataValidations>
  <printOptions horizontalCentered="0" verticalCentered="0" headings="0" gridLines="0" gridLinesSet="1"/>
  <pageMargins left="0.25" right="0.25" top="0.35" bottom="0.35" header="0.511811023622047" footer="0.511811023622047"/>
  <pageSetup orientation="landscape" paperSize="1" scale="100" fitToHeight="0"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1"/>
  </sheetPr>
  <dimension ref="A1:C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6" customWidth="1" style="11" min="1" max="1"/>
    <col width="10" customWidth="1" style="11" min="2" max="2"/>
    <col width="14" customWidth="1" style="11" min="3" max="3"/>
  </cols>
  <sheetData>
    <row r="1" ht="19.7" customHeight="1" s="12">
      <c r="A1" s="13" t="inlineStr">
        <is>
          <t>IMPLEMENTATION SUMMARY</t>
        </is>
      </c>
    </row>
    <row r="3" ht="15" customHeight="1" s="12">
      <c r="A3" s="15" t="inlineStr">
        <is>
          <t>Status</t>
        </is>
      </c>
      <c r="B3" s="15" t="inlineStr">
        <is>
          <t>Count</t>
        </is>
      </c>
      <c r="C3" s="15" t="inlineStr">
        <is>
          <t>% of Controls</t>
        </is>
      </c>
    </row>
    <row r="4" ht="15" customHeight="1" s="12">
      <c r="A4" s="16" t="inlineStr">
        <is>
          <t>Implemented</t>
        </is>
      </c>
      <c r="B4" s="16">
        <f>COUNTIF('AI Control Crosswalk'!$G$5:$G$19,A4)</f>
        <v/>
      </c>
      <c r="C4" s="17">
        <f>IFERROR(B4/SUM($B$4:$B$6),0)</f>
        <v/>
      </c>
    </row>
    <row r="5" ht="15" customHeight="1" s="12">
      <c r="A5" s="16" t="inlineStr">
        <is>
          <t>Partially Implemented</t>
        </is>
      </c>
      <c r="B5" s="16">
        <f>COUNTIF('AI Control Crosswalk'!$G$5:$G$19,A5)</f>
        <v/>
      </c>
      <c r="C5" s="17">
        <f>IFERROR(B5/SUM($B$4:$B$6),0)</f>
        <v/>
      </c>
    </row>
    <row r="6" ht="15" customHeight="1" s="12">
      <c r="A6" s="16" t="inlineStr">
        <is>
          <t>Not Implemented</t>
        </is>
      </c>
      <c r="B6" s="16">
        <f>COUNTIF('AI Control Crosswalk'!$G$5:$G$19,A6)</f>
        <v/>
      </c>
      <c r="C6" s="17">
        <f>IFERROR(B6/SUM($B$4:$B$6),0)</f>
        <v/>
      </c>
    </row>
    <row r="8" ht="15" customHeight="1" s="12">
      <c r="A8" s="18" t="inlineStr">
        <is>
          <t>Reading this</t>
        </is>
      </c>
    </row>
    <row r="9" ht="79.5" customHeight="1" s="12">
      <c r="A9" s="19" t="inlineStr">
        <is>
          <t>Zero controls fully implemented is the honest starting posture of an organization that deployed AI before governing it. The value of this crosswalk is that one control implementation — a fairness testing program, say — closes an AI RMF subcategory, an ISO 42001 Annex A control, an EU AI Act article, and a risk register item simultaneously. Build once, evidence four ways.</t>
        </is>
      </c>
    </row>
  </sheetData>
  <mergeCells count="1">
    <mergeCell ref="A9:C9"/>
  </mergeCells>
  <printOptions horizontalCentered="0" verticalCentered="0" headings="0" gridLines="0" gridLinesSet="1"/>
  <pageMargins left="0.25" right="0.25" top="0.35" bottom="0.35" header="0.511811023622047" footer="0.511811023622047"/>
  <pageSetup orientation="portrait" paperSize="1" scale="100" fitToHeight="0"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1"/>
  </sheetPr>
  <dimension ref="A1:B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11" min="1" max="1"/>
    <col width="110" customWidth="1" style="11" min="2" max="2"/>
  </cols>
  <sheetData>
    <row r="1" ht="19.7" customHeight="1" s="12">
      <c r="A1" s="13" t="inlineStr">
        <is>
          <t>CROSSWALK NOTES</t>
        </is>
      </c>
    </row>
    <row r="3" ht="35.05" customHeight="1" s="12">
      <c r="A3" s="20" t="inlineStr">
        <is>
          <t>Why four columns</t>
        </is>
      </c>
      <c r="B3" s="19" t="inlineStr">
        <is>
          <t>NIST AI RMF is the method (voluntary, no certification). ISO/IEC 42001 is the certifiable management system that proves the method is real. The EU AI Act is the legal floor. NIST CSF 2.0 is the security program Halcyon already runs — the AI controls extend it rather than duplicating it.</t>
        </is>
      </c>
    </row>
    <row r="4" ht="35.05" customHeight="1" s="12">
      <c r="A4" s="20" t="inlineStr">
        <is>
          <t>Mapping principle</t>
        </is>
      </c>
      <c r="B4" s="19" t="inlineStr">
        <is>
          <t>Map to the control objective, not the wording. AI RMF subcategories, 42001 Annex A controls, and AI Act articles overlap heavily but imperfectly; the mapping is many-to-many. Where an AI-specific control has no CSF equivalent, the CSF column reads '—' — that gap is itself a finding: the existing security program was not designed for these risks.</t>
        </is>
      </c>
    </row>
    <row r="5" ht="23.85" customHeight="1" s="12">
      <c r="A5" s="20" t="inlineStr">
        <is>
          <t>EU AI Act column</t>
        </is>
      </c>
      <c r="B5" s="19" t="inlineStr">
        <is>
          <t>Cites high-risk obligations (Arts. 9-15) and cross-cutting articles (4, 25, 26, 27, 49, 50, 72, 73, 86). Applicability depends on the system's tier per the inventory.</t>
        </is>
      </c>
    </row>
    <row r="6" ht="46.25" customHeight="1" s="12">
      <c r="A6" s="20" t="inlineStr">
        <is>
          <t>Deadlines, as amended</t>
        </is>
      </c>
      <c r="B6" s="19" t="inlineStr">
        <is>
          <t>Regulation (EU) 2026/1744 (Digital Omnibus on AI, in force 27 July 2026) moved Annex III standalone high-risk obligations to 2 December 2027 and Annex I embedded systems to 2 August 2028. Article 50 transparency duties were NOT deferred and applied from 2 August 2026. Article 5 prohibitions and GPAI obligations were already in force. The Omnibus changed the article structure only marginally; it changed the calendar substantially.</t>
        </is>
      </c>
    </row>
    <row r="7" ht="65" customHeight="1" s="12">
      <c r="A7" s="20" t="inlineStr">
        <is>
          <t>What the deferral means for this crosswalk</t>
        </is>
      </c>
      <c r="B7" s="19" t="inlineStr">
        <is>
          <t>Sixteen additional months on the high-risk controls. It does not change which controls are needed, and it does not touch the transparency control (AI Control Crosswalk row 13; AIR-002 and AIR-007), which is already past deadline. Planning that treats the deferral as relief rather than runway will arrive at December 2027 in the same position.</t>
        </is>
      </c>
    </row>
    <row r="8" ht="23.85" customHeight="1" s="12">
      <c r="A8" s="20" t="inlineStr">
        <is>
          <t>Implementation status</t>
        </is>
      </c>
      <c r="B8" s="19" t="inlineStr">
        <is>
          <t>Reflects Halcyon at inventory date. 'Partially' means something exists but was not designed for AI (e.g., generic vendor questionnaire with no AI questions).</t>
        </is>
      </c>
    </row>
    <row r="9" ht="23.85" customHeight="1" s="12">
      <c r="A9" s="20" t="inlineStr">
        <is>
          <t>Not legal advice</t>
        </is>
      </c>
      <c r="B9" s="19" t="inlineStr">
        <is>
          <t>Article and clause citations are for demonstration and should be verified against current published texts by qualified counsel before reliance.</t>
        </is>
      </c>
    </row>
  </sheetData>
  <printOptions horizontalCentered="0" verticalCentered="0" headings="0" gridLines="0" gridLinesSet="1"/>
  <pageMargins left="0.25" right="0.25" top="0.35" bottom="0.35" header="0.511811023622047" footer="0.511811023622047"/>
  <pageSetup orientation="portrait" paperSize="1" scale="100" fitToHeight="0"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2026-08-18T19:28:16Z</dcterms:created>
  <dcterms:modified xmlns:dcterms="http://purl.org/dc/terms/" xmlns:xsi="http://www.w3.org/2001/XMLSchema-instance" xsi:type="dcterms:W3CDTF">2026-09-14T07:03:05Z</dcterms:modified>
  <cp:revision>0</cp:revision>
</cp:coreProperties>
</file>