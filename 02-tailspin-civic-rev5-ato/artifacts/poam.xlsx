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A&amp;M" sheetId="1" state="visible" r:id="rId1"/>
    <sheet xmlns:r="http://schemas.openxmlformats.org/officeDocument/2006/relationships" name="POA&amp;M Summary" sheetId="2" state="visible" r:id="rId2"/>
    <sheet xmlns:r="http://schemas.openxmlformats.org/officeDocument/2006/relationships" name="Legend" sheetId="3" state="visible" r:id="rId3"/>
  </sheets>
  <definedNames>
    <definedName name="_xlnm.Print_Titles" localSheetId="0">'POA&amp;M'!$4:$4</definedName>
    <definedName name="_xlnm.Print_Area" localSheetId="0">'POA&amp;M'!$A$1:$U$12</definedName>
    <definedName name="_xlnm.Print_Titles" localSheetId="1">'POA&amp;M Summary'!$4:$4</definedName>
    <definedName name="_xlnm.Print_Area" localSheetId="1">'POA&amp;M Summary'!$A$1:$E$11</definedName>
    <definedName name="_xlnm.Print_Area" localSheetId="2">'Legend'!$A$1:$B$8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ED7D31"/>
        </patternFill>
      </fill>
    </dxf>
    <dxf>
      <font>
        <name val="Arial"/>
        <charset val="1"/>
        <family val="0"/>
        <color rgb="FF000000"/>
      </font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U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24" customWidth="1" style="17" min="2" max="2"/>
    <col width="40" customWidth="1" style="17" min="3" max="3"/>
    <col width="20" customWidth="1" style="17" min="4" max="4"/>
    <col width="16" customWidth="1" style="17" min="5" max="5"/>
    <col width="20" customWidth="1" style="17" min="6" max="6"/>
    <col width="10" customWidth="1" style="17" min="7" max="7"/>
    <col width="11" customWidth="1" style="17" min="8" max="8"/>
    <col width="10" customWidth="1" style="17" min="9" max="9"/>
    <col width="11" customWidth="1" style="17" min="10" max="10"/>
    <col width="18" customWidth="1" style="17" min="11" max="11"/>
    <col width="40" customWidth="1" style="17" min="12" max="12"/>
    <col width="15" customWidth="1" style="17" min="13" max="13"/>
    <col width="34" customWidth="1" style="17" min="14" max="14"/>
    <col width="13" customWidth="1" style="17" min="15" max="15"/>
    <col width="10" customWidth="1" style="17" min="16" max="16"/>
    <col width="11" customWidth="1" style="17" min="17" max="17"/>
    <col width="24" customWidth="1" style="17" min="18" max="18"/>
    <col width="20" customWidth="1" style="17" min="20" max="20"/>
    <col width="14" customWidth="1" style="17" min="21" max="21"/>
  </cols>
  <sheetData>
    <row r="1" ht="19.7" customHeight="1" s="18">
      <c r="A1" s="19" t="inlineStr">
        <is>
          <t>TAILSPIN CIVIC SYSTEMS, INC. — PLAN OF ACTION AND MILESTONES (POA&amp;M)</t>
        </is>
      </c>
      <c r="T1" s="20" t="inlineStr">
        <is>
          <t>Status Date (input):</t>
        </is>
      </c>
      <c r="U1" s="21" t="n">
        <v>46112</v>
      </c>
    </row>
    <row r="2" ht="15" customHeight="1" s="18">
      <c r="A2" s="22" t="inlineStr">
        <is>
          <t>AwardWorks Platform (SaaS) | FedRAMP Moderate | Reporting Period: Q1 2026 | Status Date: 2026-03-31 | Fictional organization. Created for portfolio demonstration purposes.</t>
        </is>
      </c>
    </row>
    <row r="4" ht="23.85" customHeight="1" s="18">
      <c r="A4" s="23" t="inlineStr">
        <is>
          <t>POA&amp;M ID</t>
        </is>
      </c>
      <c r="B4" s="23" t="inlineStr">
        <is>
          <t>Weakness Name</t>
        </is>
      </c>
      <c r="C4" s="23" t="inlineStr">
        <is>
          <t>Weakness Description</t>
        </is>
      </c>
      <c r="D4" s="23" t="inlineStr">
        <is>
          <t>Source of Discovery</t>
        </is>
      </c>
      <c r="E4" s="23" t="inlineStr">
        <is>
          <t>NIST 800-53 Control(s)</t>
        </is>
      </c>
      <c r="F4" s="23" t="inlineStr">
        <is>
          <t>Asset Identifier</t>
        </is>
      </c>
      <c r="G4" s="23" t="inlineStr">
        <is>
          <t>Severity</t>
        </is>
      </c>
      <c r="H4" s="23" t="inlineStr">
        <is>
          <t>Likelihood</t>
        </is>
      </c>
      <c r="I4" s="23" t="inlineStr">
        <is>
          <t>Impact</t>
        </is>
      </c>
      <c r="J4" s="23" t="inlineStr">
        <is>
          <t>Risk Rating</t>
        </is>
      </c>
      <c r="K4" s="23" t="inlineStr">
        <is>
          <t>Point of Contact</t>
        </is>
      </c>
      <c r="L4" s="23" t="inlineStr">
        <is>
          <t>Remediation Plan</t>
        </is>
      </c>
      <c r="M4" s="23" t="inlineStr">
        <is>
          <t>Scheduled Completion Date</t>
        </is>
      </c>
      <c r="N4" s="23" t="inlineStr">
        <is>
          <t>Milestones</t>
        </is>
      </c>
      <c r="O4" s="23" t="inlineStr">
        <is>
          <t>Status</t>
        </is>
      </c>
      <c r="P4" s="23" t="inlineStr">
        <is>
          <t>Days Open</t>
        </is>
      </c>
      <c r="Q4" s="23" t="inlineStr">
        <is>
          <t>Overdue?</t>
        </is>
      </c>
      <c r="R4" s="23" t="inlineStr">
        <is>
          <t>Deviation / Risk Acceptance</t>
        </is>
      </c>
    </row>
    <row r="5" ht="68.65000000000001" customHeight="1" s="18">
      <c r="A5" s="24" t="inlineStr">
        <is>
          <t>V-001</t>
        </is>
      </c>
      <c r="B5" s="24" t="inlineStr">
        <is>
          <t>Untimely Remediation of High-Severity Vulnerabilities</t>
        </is>
      </c>
      <c r="C5" s="24" t="inlineStr">
        <is>
          <t>Authenticated vulnerability scans identified 14 High-severity findings that exceeded the FedRAMP 30-day remediation window for Moderate systems. Root cause: patching pipeline lacked automated escalation when an SLA breach was approaching.</t>
        </is>
      </c>
      <c r="D5" s="24" t="inlineStr">
        <is>
          <t>Monthly ConMon Scan / 3PAO Assessment</t>
        </is>
      </c>
      <c r="E5" s="24" t="inlineStr">
        <is>
          <t>RA-5, SI-2</t>
        </is>
      </c>
      <c r="F5" s="24" t="inlineStr">
        <is>
          <t>Application Tier (web-app-prod-01 through 06)</t>
        </is>
      </c>
      <c r="G5" s="24" t="inlineStr">
        <is>
          <t>High</t>
        </is>
      </c>
      <c r="H5" s="24" t="inlineStr">
        <is>
          <t>High</t>
        </is>
      </c>
      <c r="I5" s="24" t="inlineStr">
        <is>
          <t>High</t>
        </is>
      </c>
      <c r="J5" s="24" t="inlineStr">
        <is>
          <t>High</t>
        </is>
      </c>
      <c r="K5" s="24" t="inlineStr">
        <is>
          <t>Director of Platform Engineering</t>
        </is>
      </c>
      <c r="L5" s="24" t="inlineStr">
        <is>
          <t>Implement automated SLA-based escalation in the vulnerability management pipeline; remediate the 14 open High findings; institute weekly SLA burn-down review.</t>
        </is>
      </c>
      <c r="M5" s="25" t="n">
        <v>46203</v>
      </c>
      <c r="N5" s="24" t="inlineStr">
        <is>
          <t>M1: Remediate all open High findings (2026-05-15); M2: Deploy automated SLA escalation (2026-06-15); M3: Validate with clean scan cycle (2026-06-30)</t>
        </is>
      </c>
      <c r="O5" s="24" t="inlineStr">
        <is>
          <t>In Progress</t>
        </is>
      </c>
      <c r="P5" s="24">
        <f>IF(O5="Closed","",MAX(0,$U$1-DATE(2026,3,1)))</f>
        <v/>
      </c>
      <c r="Q5" s="24">
        <f>IF(O5="Closed","No",IF(M5&lt;$U$1,"YES","No"))</f>
        <v/>
      </c>
      <c r="R5" s="24" t="n"/>
    </row>
    <row r="6" ht="57.45" customHeight="1" s="18">
      <c r="A6" s="24" t="inlineStr">
        <is>
          <t>V-002</t>
        </is>
      </c>
      <c r="B6" s="24" t="inlineStr">
        <is>
          <t>Configuration Drift from Approved Hardening Baseline</t>
        </is>
      </c>
      <c r="C6" s="24" t="inlineStr">
        <is>
          <t>Assessment sampling identified three application servers with configuration settings deviating from the approved CIS Level 1 hardening baseline, including a non-compliant SSH configuration and a disabled host-based audit daemon.</t>
        </is>
      </c>
      <c r="D6" s="24" t="inlineStr">
        <is>
          <t>3PAO Assessment (Technical Test)</t>
        </is>
      </c>
      <c r="E6" s="24" t="inlineStr">
        <is>
          <t>CM-6</t>
        </is>
      </c>
      <c r="F6" s="24" t="inlineStr">
        <is>
          <t>app-srv-04, app-srv-07, app-srv-11</t>
        </is>
      </c>
      <c r="G6" s="24" t="inlineStr">
        <is>
          <t>Moderate</t>
        </is>
      </c>
      <c r="H6" s="24" t="inlineStr">
        <is>
          <t>Moderate</t>
        </is>
      </c>
      <c r="I6" s="24" t="inlineStr">
        <is>
          <t>Moderate</t>
        </is>
      </c>
      <c r="J6" s="24" t="inlineStr">
        <is>
          <t>Moderate</t>
        </is>
      </c>
      <c r="K6" s="24" t="inlineStr">
        <is>
          <t>Cloud Infrastructure Lead</t>
        </is>
      </c>
      <c r="L6" s="24" t="inlineStr">
        <is>
          <t>Re-image affected hosts from the approved AMI; enable AWS Config drift detection with automatic remediation for baseline settings; add drift check to deployment gate.</t>
        </is>
      </c>
      <c r="M6" s="25" t="n">
        <v>46173</v>
      </c>
      <c r="N6" s="24" t="inlineStr">
        <is>
          <t>M1: Re-image affected hosts (2026-04-15); M2: Enable Config auto-remediation rules (2026-05-15); M3: Add pre-deploy drift gate to CI (2026-05-31)</t>
        </is>
      </c>
      <c r="O6" s="24" t="inlineStr">
        <is>
          <t>In Progress</t>
        </is>
      </c>
      <c r="P6" s="24">
        <f>IF(O6="Closed","",MAX(0,$U$1-DATE(2026,3,1)))</f>
        <v/>
      </c>
      <c r="Q6" s="24">
        <f>IF(O6="Closed","No",IF(M6&lt;$U$1,"YES","No"))</f>
        <v/>
      </c>
      <c r="R6" s="24" t="n"/>
    </row>
    <row r="7" ht="46.25" customHeight="1" s="18">
      <c r="A7" s="24" t="inlineStr">
        <is>
          <t>V-003</t>
        </is>
      </c>
      <c r="B7" s="24" t="inlineStr">
        <is>
          <t>Incomplete Logging of Privileged Function Use</t>
        </is>
      </c>
      <c r="C7" s="24" t="inlineStr">
        <is>
          <t>Privileged function execution on the legacy reporting subsystem is not forwarded to the centralized SIEM, creating a gap in the audit trail for administrative actions on that component.</t>
        </is>
      </c>
      <c r="D7" s="24" t="inlineStr">
        <is>
          <t>3PAO Assessment (Technical Test)</t>
        </is>
      </c>
      <c r="E7" s="24" t="inlineStr">
        <is>
          <t>AC-6(9), AU-2</t>
        </is>
      </c>
      <c r="F7" s="24" t="inlineStr">
        <is>
          <t>reporting-svc-legacy</t>
        </is>
      </c>
      <c r="G7" s="24" t="inlineStr">
        <is>
          <t>Moderate</t>
        </is>
      </c>
      <c r="H7" s="24" t="inlineStr">
        <is>
          <t>Moderate</t>
        </is>
      </c>
      <c r="I7" s="24" t="inlineStr">
        <is>
          <t>High</t>
        </is>
      </c>
      <c r="J7" s="24" t="inlineStr">
        <is>
          <t>Moderate</t>
        </is>
      </c>
      <c r="K7" s="24" t="inlineStr">
        <is>
          <t>Security Operations Lead</t>
        </is>
      </c>
      <c r="L7" s="24" t="inlineStr">
        <is>
          <t>Deploy log forwarding agent to the legacy reporting subsystem; validate privileged-action event coverage against the approved auditable events list; confirm SIEM ingestion and alerting.</t>
        </is>
      </c>
      <c r="M7" s="25" t="n">
        <v>46157</v>
      </c>
      <c r="N7" s="24" t="inlineStr">
        <is>
          <t>M1: Deploy forwarding agent (2026-04-20); M2: Validate event coverage (2026-05-05); M3: Confirm SIEM alerting rules fire (2026-05-15)</t>
        </is>
      </c>
      <c r="O7" s="24" t="inlineStr">
        <is>
          <t>In Progress</t>
        </is>
      </c>
      <c r="P7" s="24">
        <f>IF(O7="Closed","",MAX(0,$U$1-DATE(2026,3,1)))</f>
        <v/>
      </c>
      <c r="Q7" s="24">
        <f>IF(O7="Closed","No",IF(M7&lt;$U$1,"YES","No"))</f>
        <v/>
      </c>
      <c r="R7" s="24" t="n"/>
    </row>
    <row r="8" ht="68.65000000000001" customHeight="1" s="18">
      <c r="A8" s="24" t="inlineStr">
        <is>
          <t>V-004</t>
        </is>
      </c>
      <c r="B8" s="24" t="inlineStr">
        <is>
          <t>Annual System Recovery Exercise Not Performed</t>
        </is>
      </c>
      <c r="C8" s="24" t="inlineStr">
        <is>
          <t>Full-system recovery and reconstitution procedures have not been exercised within the required annual period. Component-level backup restoration has been tested, but an end-to-end recovery validating documented RTO/RPO has not been conducted.</t>
        </is>
      </c>
      <c r="D8" s="24" t="inlineStr">
        <is>
          <t>3PAO Assessment (Interview/Examine)</t>
        </is>
      </c>
      <c r="E8" s="24" t="inlineStr">
        <is>
          <t>CP-10</t>
        </is>
      </c>
      <c r="F8" s="24" t="inlineStr">
        <is>
          <t>AwardWorks Platform (system-wide)</t>
        </is>
      </c>
      <c r="G8" s="24" t="inlineStr">
        <is>
          <t>Moderate</t>
        </is>
      </c>
      <c r="H8" s="24" t="inlineStr">
        <is>
          <t>Low</t>
        </is>
      </c>
      <c r="I8" s="24" t="inlineStr">
        <is>
          <t>High</t>
        </is>
      </c>
      <c r="J8" s="24" t="inlineStr">
        <is>
          <t>Moderate</t>
        </is>
      </c>
      <c r="K8" s="24" t="inlineStr">
        <is>
          <t>Director of Infrastructure</t>
        </is>
      </c>
      <c r="L8" s="24" t="inlineStr">
        <is>
          <t>Conduct a full-system recovery exercise in an isolated environment; measure actual RTO/RPO against documented objectives; update the Contingency Plan based on exercise findings.</t>
        </is>
      </c>
      <c r="M8" s="25" t="n">
        <v>46234</v>
      </c>
      <c r="N8" s="24" t="inlineStr">
        <is>
          <t>M1: Develop exercise scenario and success criteria (2026-05-30); M2: Execute recovery exercise (2026-07-15); M3: Update Contingency Plan and after-action report (2026-07-31)</t>
        </is>
      </c>
      <c r="O8" s="24" t="inlineStr">
        <is>
          <t>Open</t>
        </is>
      </c>
      <c r="P8" s="24">
        <f>IF(O8="Closed","",MAX(0,$U$1-DATE(2026,3,1)))</f>
        <v/>
      </c>
      <c r="Q8" s="24">
        <f>IF(O8="Closed","No",IF(M8&lt;$U$1,"YES","No"))</f>
        <v/>
      </c>
      <c r="R8" s="24" t="n"/>
    </row>
    <row r="9" ht="57.45" customHeight="1" s="18">
      <c r="A9" s="24" t="inlineStr">
        <is>
          <t>V-005</t>
        </is>
      </c>
      <c r="B9" s="24" t="inlineStr">
        <is>
          <t>Inconsistent Audit Log Review Evidence</t>
        </is>
      </c>
      <c r="C9" s="24" t="inlineStr">
        <is>
          <t>The documented weekly audit log review procedure was not consistently evidenced for a two-month period. Reviews may have occurred but were not recorded in a manner that supports assessment.</t>
        </is>
      </c>
      <c r="D9" s="24" t="inlineStr">
        <is>
          <t>3PAO Assessment (Examine)</t>
        </is>
      </c>
      <c r="E9" s="24" t="inlineStr">
        <is>
          <t>AU-6</t>
        </is>
      </c>
      <c r="F9" s="24" t="inlineStr">
        <is>
          <t>SIEM Platform</t>
        </is>
      </c>
      <c r="G9" s="24" t="inlineStr">
        <is>
          <t>Low</t>
        </is>
      </c>
      <c r="H9" s="24" t="inlineStr">
        <is>
          <t>Moderate</t>
        </is>
      </c>
      <c r="I9" s="24" t="inlineStr">
        <is>
          <t>Low</t>
        </is>
      </c>
      <c r="J9" s="24" t="inlineStr">
        <is>
          <t>Low</t>
        </is>
      </c>
      <c r="K9" s="24" t="inlineStr">
        <is>
          <t>Security Operations Lead</t>
        </is>
      </c>
      <c r="L9" s="24" t="inlineStr">
        <is>
          <t>Implement a ticketed workflow that generates an auditable record for each weekly log review, including reviewer, date, findings, and escalations; backfill process documentation.</t>
        </is>
      </c>
      <c r="M9" s="25" t="n">
        <v>46142</v>
      </c>
      <c r="N9" s="24" t="inlineStr">
        <is>
          <t>M1: Build ticketed review workflow (2026-04-10); M2: Complete four consecutive evidenced review cycles (2026-04-30)</t>
        </is>
      </c>
      <c r="O9" s="24" t="inlineStr">
        <is>
          <t>In Progress</t>
        </is>
      </c>
      <c r="P9" s="24">
        <f>IF(O9="Closed","",MAX(0,$U$1-DATE(2026,3,1)))</f>
        <v/>
      </c>
      <c r="Q9" s="24">
        <f>IF(O9="Closed","No",IF(M9&lt;$U$1,"YES","No"))</f>
        <v/>
      </c>
      <c r="R9" s="24" t="n"/>
    </row>
    <row r="10" ht="260" customHeight="1" s="18">
      <c r="A10" s="24" t="inlineStr">
        <is>
          <t>V-006</t>
        </is>
      </c>
      <c r="B10" s="24" t="inlineStr">
        <is>
          <t>Incident Reporting Timeline Not Exercised</t>
        </is>
      </c>
      <c r="C10" s="24" t="inlineStr">
        <is>
          <t>The one-hour US-CERT and FedRAMP ISSO incident notification requirement is documented in the Incident Response Plan but has not been validated through a tabletop or live exercise, creating uncertainty about the organization's ability to meet the timeline.</t>
        </is>
      </c>
      <c r="D10" s="24" t="inlineStr">
        <is>
          <t>3PAO Assessment (Interview)</t>
        </is>
      </c>
      <c r="E10" s="24" t="inlineStr">
        <is>
          <t>IR-6, IR-4</t>
        </is>
      </c>
      <c r="F10" s="24" t="inlineStr">
        <is>
          <t>Incident Response Program</t>
        </is>
      </c>
      <c r="G10" s="24" t="inlineStr">
        <is>
          <t>Moderate</t>
        </is>
      </c>
      <c r="H10" s="24" t="inlineStr">
        <is>
          <t>Moderate</t>
        </is>
      </c>
      <c r="I10" s="24" t="inlineStr">
        <is>
          <t>Moderate</t>
        </is>
      </c>
      <c r="J10" s="24" t="inlineStr">
        <is>
          <t>Moderate</t>
        </is>
      </c>
      <c r="K10" s="24" t="inlineStr">
        <is>
          <t>Incident Response Lead</t>
        </is>
      </c>
      <c r="L10" s="24" t="inlineStr">
        <is>
          <t>Conduct a tabletop exercise specifically testing notification timelines to US-CERT and the FedRAMP ISSO; document actual elapsed times; update the IR Plan and contact roster based on results.</t>
        </is>
      </c>
      <c r="M10" s="25" t="n">
        <v>46188</v>
      </c>
      <c r="N10" s="24" t="inlineStr">
        <is>
          <t>M1: Develop tabletop scenario (2026-05-01); M2: Execute tabletop with Legal and Communications (2026-06-01); M3: Update IR Plan and roster (2026-06-15) Later evidence (AAR approved 2026-06-04, sections 8–11): original 2026-06-15 completion is incompatible with corrective actions due 2026-06-30 and 2026-07-15. Reason: notification draft took 64 minutes against 60; severity classification was delayed. Follow-up exercise recommended by 2026-09-30. Original date retained; approved revised closure date not recorded.</t>
        </is>
      </c>
      <c r="O10" s="24" t="inlineStr">
        <is>
          <t>Open</t>
        </is>
      </c>
      <c r="P10" s="24">
        <f>IF(O10="Closed","",MAX(0,$U$1-DATE(2026,3,1)))</f>
        <v/>
      </c>
      <c r="Q10" s="24">
        <f>IF(O10="Closed","No",IF(M10&lt;$U$1,"YES","No"))</f>
        <v/>
      </c>
      <c r="R10" s="24" t="n"/>
    </row>
    <row r="11" ht="57.45" customHeight="1" s="18">
      <c r="A11" s="24" t="inlineStr">
        <is>
          <t>V-007</t>
        </is>
      </c>
      <c r="B11" s="24" t="inlineStr">
        <is>
          <t>Late Submission of Continuous Monitoring Deliverables</t>
        </is>
      </c>
      <c r="C11" s="24" t="inlineStr">
        <is>
          <t>Monthly continuous monitoring deliverables (scan results, POA&amp;M updates, inventory) were submitted after the required deadline in two of the last six reporting cycles.</t>
        </is>
      </c>
      <c r="D11" s="24" t="inlineStr">
        <is>
          <t>FedRAMP ConMon Review</t>
        </is>
      </c>
      <c r="E11" s="24" t="inlineStr">
        <is>
          <t>CA-7</t>
        </is>
      </c>
      <c r="F11" s="24" t="inlineStr">
        <is>
          <t>ConMon Program</t>
        </is>
      </c>
      <c r="G11" s="24" t="inlineStr">
        <is>
          <t>Low</t>
        </is>
      </c>
      <c r="H11" s="24" t="inlineStr">
        <is>
          <t>Moderate</t>
        </is>
      </c>
      <c r="I11" s="24" t="inlineStr">
        <is>
          <t>Low</t>
        </is>
      </c>
      <c r="J11" s="24" t="inlineStr">
        <is>
          <t>Low</t>
        </is>
      </c>
      <c r="K11" s="24" t="inlineStr">
        <is>
          <t>ISSO</t>
        </is>
      </c>
      <c r="L11" s="24" t="inlineStr">
        <is>
          <t>Automate ConMon deliverable assembly and add calendar-driven internal deadlines five business days ahead of the external due date; assign a documented backup submitter.</t>
        </is>
      </c>
      <c r="M11" s="25" t="n">
        <v>46173</v>
      </c>
      <c r="N11" s="24" t="inlineStr">
        <is>
          <t>M1: Automate deliverable package generation (2026-05-01); M2: Establish internal deadline and backup owner (2026-05-15); M3: Two consecutive on-time cycles (2026-05-31)</t>
        </is>
      </c>
      <c r="O11" s="24" t="inlineStr">
        <is>
          <t>In Progress</t>
        </is>
      </c>
      <c r="P11" s="24">
        <f>IF(O11="Closed","",MAX(0,$U$1-DATE(2026,3,1)))</f>
        <v/>
      </c>
      <c r="Q11" s="24">
        <f>IF(O11="Closed","No",IF(M11&lt;$U$1,"YES","No"))</f>
        <v/>
      </c>
      <c r="R11" s="24" t="n"/>
    </row>
    <row r="12" ht="57.45" customHeight="1" s="18">
      <c r="A12" s="24" t="inlineStr">
        <is>
          <t>V-008</t>
        </is>
      </c>
      <c r="B12" s="24" t="inlineStr">
        <is>
          <t>Shared Service Account Used by Batch Processing Jobs</t>
        </is>
      </c>
      <c r="C12" s="24" t="inlineStr">
        <is>
          <t>A shared service account with elevated database privileges is used by four batch processing jobs, preventing attribution of database actions to a specific process and violating least-privilege and individual-accountability requirements.</t>
        </is>
      </c>
      <c r="D12" s="24" t="inlineStr">
        <is>
          <t>Internal Self-Assessment</t>
        </is>
      </c>
      <c r="E12" s="24" t="inlineStr">
        <is>
          <t>AC-2, AC-6</t>
        </is>
      </c>
      <c r="F12" s="24" t="inlineStr">
        <is>
          <t>awardworks-batch-db</t>
        </is>
      </c>
      <c r="G12" s="24" t="inlineStr">
        <is>
          <t>Moderate</t>
        </is>
      </c>
      <c r="H12" s="24" t="inlineStr">
        <is>
          <t>High</t>
        </is>
      </c>
      <c r="I12" s="24" t="inlineStr">
        <is>
          <t>Moderate</t>
        </is>
      </c>
      <c r="J12" s="24" t="inlineStr">
        <is>
          <t>High</t>
        </is>
      </c>
      <c r="K12" s="24" t="inlineStr">
        <is>
          <t>Director of Platform Engineering</t>
        </is>
      </c>
      <c r="L12" s="24" t="inlineStr">
        <is>
          <t>Migrate each batch job to a dedicated IAM database role scoped to the minimum required privileges; eliminate the shared account; verify attribution in database audit logs.</t>
        </is>
      </c>
      <c r="M12" s="25" t="n">
        <v>46265</v>
      </c>
      <c r="N12" s="24" t="inlineStr">
        <is>
          <t>M1: Inventory required privileges per job (2026-05-30); M2: Create scoped roles and migrate jobs (2026-07-31); M3: Disable shared account and validate logs (2026-08-31)</t>
        </is>
      </c>
      <c r="O12" s="24" t="inlineStr">
        <is>
          <t>Open</t>
        </is>
      </c>
      <c r="P12" s="24">
        <f>IF(O12="Closed","",MAX(0,$U$1-DATE(2026,3,1)))</f>
        <v/>
      </c>
      <c r="Q12" s="24">
        <f>IF(O12="Closed","No",IF(M12&lt;$U$1,"YES","No"))</f>
        <v/>
      </c>
      <c r="R12" s="24" t="n"/>
    </row>
  </sheetData>
  <mergeCells count="2">
    <mergeCell ref="A2:R2"/>
    <mergeCell ref="A1:R1"/>
  </mergeCells>
  <conditionalFormatting sqref="G5:G12">
    <cfRule type="expression" rank="0" priority="2" equalAverage="0" aboveAverage="0" dxfId="0" text="" percent="0" bottom="0">
      <formula>EXACT(G5,"High")</formula>
    </cfRule>
    <cfRule type="expression" rank="0" priority="3" equalAverage="0" aboveAverage="0" dxfId="1" text="" percent="0" bottom="0">
      <formula>EXACT(G5,"Moderate")</formula>
    </cfRule>
    <cfRule type="expression" rank="0" priority="4" equalAverage="0" aboveAverage="0" dxfId="2" text="" percent="0" bottom="0">
      <formula>EXACT(G5,"Low")</formula>
    </cfRule>
  </conditionalFormatting>
  <conditionalFormatting sqref="J5:J12">
    <cfRule type="expression" rank="0" priority="5" equalAverage="0" aboveAverage="0" dxfId="0" text="" percent="0" bottom="0">
      <formula>EXACT(J5,"High")</formula>
    </cfRule>
    <cfRule type="expression" rank="0" priority="6" equalAverage="0" aboveAverage="0" dxfId="1" text="" percent="0" bottom="0">
      <formula>EXACT(J5,"Moderate")</formula>
    </cfRule>
    <cfRule type="expression" rank="0" priority="7" equalAverage="0" aboveAverage="0" dxfId="2" text="" percent="0" bottom="0">
      <formula>EXACT(J5,"Low")</formula>
    </cfRule>
  </conditionalFormatting>
  <conditionalFormatting sqref="O5:O12">
    <cfRule type="expression" rank="0" priority="8" equalAverage="0" aboveAverage="0" dxfId="3" text="" percent="0" bottom="0">
      <formula>EXACT(O5,"Open")</formula>
    </cfRule>
    <cfRule type="expression" rank="0" priority="9" equalAverage="0" aboveAverage="0" dxfId="4" text="" percent="0" bottom="0">
      <formula>EXACT(O5,"In Progress")</formula>
    </cfRule>
    <cfRule type="expression" rank="0" priority="10" equalAverage="0" aboveAverage="0" dxfId="2" text="" percent="0" bottom="0">
      <formula>EXACT(O5,"Closed")</formula>
    </cfRule>
  </conditionalFormatting>
  <conditionalFormatting sqref="Q5:Q12">
    <cfRule type="expression" rank="0" priority="11" equalAverage="0" aboveAverage="0" dxfId="0" text="" percent="0" bottom="0">
      <formula>EXACT(Q5,"YES")</formula>
    </cfRule>
  </conditionalFormatting>
  <dataValidations count="2">
    <dataValidation sqref="G5:J42" showDropDown="0" showInputMessage="0" showErrorMessage="0" allowBlank="1" type="list" errorStyle="stop" operator="between">
      <formula1>"High,Moderate,Low"</formula1>
      <formula2>0</formula2>
    </dataValidation>
    <dataValidation sqref="O5:O42" showDropDown="0" showInputMessage="0" showErrorMessage="0" allowBlank="1" type="list" errorStyle="stop" operator="between">
      <formula1>"Open,In Progress,Closed,Risk Accepted,Deviation Requested"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4" customWidth="1" style="17" min="2" max="4"/>
    <col width="12" customWidth="1" style="17" min="5" max="5"/>
  </cols>
  <sheetData>
    <row r="1" ht="19.7" customHeight="1" s="18">
      <c r="A1" s="19" t="inlineStr">
        <is>
          <t>POA&amp;M SUMMARY — Q1 2026</t>
        </is>
      </c>
    </row>
    <row r="2" ht="15" customHeight="1" s="18">
      <c r="A2" s="22" t="inlineStr">
        <is>
          <t>Counts derived from the POA&amp;M tab.</t>
        </is>
      </c>
    </row>
    <row r="4" ht="15" customHeight="1" s="18">
      <c r="A4" s="26" t="inlineStr">
        <is>
          <t>Risk Rating</t>
        </is>
      </c>
      <c r="B4" s="26" t="inlineStr">
        <is>
          <t>Open</t>
        </is>
      </c>
      <c r="C4" s="26" t="inlineStr">
        <is>
          <t>In Progress</t>
        </is>
      </c>
      <c r="D4" s="26" t="inlineStr">
        <is>
          <t>Closed</t>
        </is>
      </c>
      <c r="E4" s="26" t="inlineStr">
        <is>
          <t>Total</t>
        </is>
      </c>
    </row>
    <row r="5" ht="15" customHeight="1" s="18">
      <c r="A5" s="27" t="inlineStr">
        <is>
          <t>High</t>
        </is>
      </c>
      <c r="B5" s="27">
        <f>COUNTIFS('POA&amp;M'!$J$5:$J$12,$A5,'POA&amp;M'!$O$5:$O$12,"Open")</f>
        <v/>
      </c>
      <c r="C5" s="27">
        <f>COUNTIFS('POA&amp;M'!$J$5:$J$12,$A5,'POA&amp;M'!$O$5:$O$12,"In Progress")</f>
        <v/>
      </c>
      <c r="D5" s="27">
        <f>COUNTIFS('POA&amp;M'!$J$5:$J$12,$A5,'POA&amp;M'!$O$5:$O$12,"Closed")</f>
        <v/>
      </c>
      <c r="E5" s="27">
        <f>SUM(B5:D5)</f>
        <v/>
      </c>
    </row>
    <row r="6" ht="15" customHeight="1" s="18">
      <c r="A6" s="27" t="inlineStr">
        <is>
          <t>Moderate</t>
        </is>
      </c>
      <c r="B6" s="27">
        <f>COUNTIFS('POA&amp;M'!$J$5:$J$12,$A6,'POA&amp;M'!$O$5:$O$12,"Open")</f>
        <v/>
      </c>
      <c r="C6" s="27">
        <f>COUNTIFS('POA&amp;M'!$J$5:$J$12,$A6,'POA&amp;M'!$O$5:$O$12,"In Progress")</f>
        <v/>
      </c>
      <c r="D6" s="27">
        <f>COUNTIFS('POA&amp;M'!$J$5:$J$12,$A6,'POA&amp;M'!$O$5:$O$12,"Closed")</f>
        <v/>
      </c>
      <c r="E6" s="27">
        <f>SUM(B6:D6)</f>
        <v/>
      </c>
    </row>
    <row r="7" ht="15" customHeight="1" s="18">
      <c r="A7" s="27" t="inlineStr">
        <is>
          <t>Low</t>
        </is>
      </c>
      <c r="B7" s="27">
        <f>COUNTIFS('POA&amp;M'!$J$5:$J$12,$A7,'POA&amp;M'!$O$5:$O$12,"Open")</f>
        <v/>
      </c>
      <c r="C7" s="27">
        <f>COUNTIFS('POA&amp;M'!$J$5:$J$12,$A7,'POA&amp;M'!$O$5:$O$12,"In Progress")</f>
        <v/>
      </c>
      <c r="D7" s="27">
        <f>COUNTIFS('POA&amp;M'!$J$5:$J$12,$A7,'POA&amp;M'!$O$5:$O$12,"Closed")</f>
        <v/>
      </c>
      <c r="E7" s="27">
        <f>SUM(B7:D7)</f>
        <v/>
      </c>
    </row>
    <row r="8" ht="15" customHeight="1" s="18">
      <c r="A8" s="28" t="inlineStr">
        <is>
          <t>TOTAL</t>
        </is>
      </c>
      <c r="B8" s="29">
        <f>B5+B6+B7</f>
        <v/>
      </c>
      <c r="C8" s="29">
        <f>C5+C6+C7</f>
        <v/>
      </c>
      <c r="D8" s="29">
        <f>D5+D6+D7</f>
        <v/>
      </c>
      <c r="E8" s="29">
        <f>E5+E6+E7</f>
        <v/>
      </c>
    </row>
    <row r="10" ht="15" customHeight="1" s="18">
      <c r="A10" s="30" t="inlineStr">
        <is>
          <t>Overdue Items</t>
        </is>
      </c>
      <c r="B10" s="31">
        <f>COUNTIF('POA&amp;M'!$Q$5:$Q$12,"YES")</f>
        <v/>
      </c>
    </row>
    <row r="11" ht="15" customHeight="1" s="18">
      <c r="A11" s="30" t="inlineStr">
        <is>
          <t>Next Milestone Due</t>
        </is>
      </c>
      <c r="B11" s="31">
        <f>TEXT(MIN('POA&amp;M'!$M$5:$M$12),"yyyy-mm-dd")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105" customWidth="1" style="17" min="2" max="2"/>
  </cols>
  <sheetData>
    <row r="1" ht="19.7" customHeight="1" s="18">
      <c r="A1" s="19" t="inlineStr">
        <is>
          <t>POA&amp;M — LEGEND &amp; METHODOLOGY</t>
        </is>
      </c>
    </row>
    <row r="2" ht="35.05" customHeight="1" s="18">
      <c r="A2" s="20" t="inlineStr">
        <is>
          <t>Purpose</t>
        </is>
      </c>
      <c r="B2" s="32" t="inlineStr">
        <is>
          <t>The Plan of Action and Milestones is the authoritative tracking document for every security weakness identified in a federal system. It is a required deliverable under FISMA and FedRAMP and is submitted to the Authorizing Official on a monthly continuous monitoring cadence.</t>
        </is>
      </c>
    </row>
    <row r="3" ht="23.85" customHeight="1" s="18">
      <c r="A3" s="20" t="inlineStr">
        <is>
          <t>Editable input cell</t>
        </is>
      </c>
      <c r="B3" s="32" t="inlineStr">
        <is>
          <t>Cell U1 on the POA&amp;M tab (yellow) is the Status Date. Change it and the Overdue? column recalculates against every scheduled completion date.</t>
        </is>
      </c>
    </row>
    <row r="4" ht="23.85" customHeight="1" s="18">
      <c r="A4" s="20" t="inlineStr">
        <is>
          <t>Sources of Discovery</t>
        </is>
      </c>
      <c r="B4" s="32" t="inlineStr">
        <is>
          <t>3PAO Assessment | Monthly ConMon Scan | Internal Self-Assessment | Penetration Test | Incident | FedRAMP ConMon Review | Customer-Reported</t>
        </is>
      </c>
    </row>
    <row r="5" ht="23.85" customHeight="1" s="18">
      <c r="A5" s="20" t="inlineStr">
        <is>
          <t>Risk Rating</t>
        </is>
      </c>
      <c r="B5" s="32" t="inlineStr">
        <is>
          <t>Derived from Likelihood and Impact. FedRAMP remediation timelines: High = 30 days, Moderate = 90 days, Low = 180 days from discovery.</t>
        </is>
      </c>
    </row>
    <row r="6" ht="23.85" customHeight="1" s="18">
      <c r="A6" s="20" t="inlineStr">
        <is>
          <t>Traceability</t>
        </is>
      </c>
      <c r="B6" s="32" t="inlineStr">
        <is>
          <t>Each POA&amp;M ID maps back to a control marked 'Other Than Satisfied' in the SCTM, and forward to the findings documented in the Security Assessment Report.</t>
        </is>
      </c>
    </row>
    <row r="7" ht="23.85" customHeight="1" s="18">
      <c r="A7" s="20" t="inlineStr">
        <is>
          <t>Deviation / Risk Acceptance</t>
        </is>
      </c>
      <c r="B7" s="32" t="inlineStr">
        <is>
          <t>Where a weakness cannot be remediated within required timelines, a formal deviation request (Risk Adjustment, False Positive, or Operational Requirement) must be submitted to and approved by the Authorizing Official.</t>
        </is>
      </c>
    </row>
    <row r="8" ht="23.85" customHeight="1" s="18">
      <c r="A8" s="20" t="inlineStr">
        <is>
          <t>Closure</t>
        </is>
      </c>
      <c r="B8" s="32" t="inlineStr">
        <is>
          <t>A POA&amp;M item may only be closed with evidence of remediation validated by the ISSO — typically a clean scan, a re-test result, or an assessed artifact.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2026-08-13T15:13:26Z</dcterms:created>
  <dcterms:modified xmlns:dcterms="http://purl.org/dc/terms/" xmlns:xsi="http://www.w3.org/2001/XMLSchema-instance" xsi:type="dcterms:W3CDTF">2026-10-09T19:33:41Z</dcterms:modified>
  <cp:revision>0</cp:revision>
</cp:coreProperties>
</file>