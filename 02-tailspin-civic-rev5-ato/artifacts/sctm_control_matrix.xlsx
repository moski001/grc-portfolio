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TM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Legend" sheetId="3" state="visible" r:id="rId3"/>
  </sheets>
  <definedNames>
    <definedName name="_xlnm.Print_Titles" localSheetId="0">'SCTM'!$4:$4</definedName>
    <definedName name="_xlnm.Print_Area" localSheetId="0">'SCTM'!$A$1:$J$34</definedName>
    <definedName name="_xlnm.Print_Titles" localSheetId="1">'Control Summary'!$4:$4</definedName>
    <definedName name="_xlnm.Print_Area" localSheetId="1">'Control Summary'!$A$1:$C$15</definedName>
    <definedName name="_xlnm.Print_Area" localSheetId="2">'Legend'!$A$1:$B$8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color rgb="FF000000"/>
      </font>
      <fill>
        <patternFill>
          <bgColor rgb="FF8EAAD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5" min="1" max="1"/>
    <col width="16" customWidth="1" style="15" min="2" max="2"/>
    <col width="28" customWidth="1" style="15" min="3" max="3"/>
    <col width="11" customWidth="1" style="15" min="4" max="4"/>
    <col width="18" customWidth="1" style="15" min="5" max="5"/>
    <col width="22" customWidth="1" style="15" min="6" max="6"/>
    <col width="44" customWidth="1" style="15" min="7" max="7"/>
    <col width="16" customWidth="1" style="15" min="8" max="8"/>
    <col width="15" customWidth="1" style="15" min="9" max="9"/>
    <col width="14" customWidth="1" style="15" min="10" max="10"/>
  </cols>
  <sheetData>
    <row r="1" ht="19.7" customHeight="1" s="16">
      <c r="A1" s="17" t="inlineStr">
        <is>
          <t>TAILSPIN CIVIC SYSTEMS, INC. — SECURITY CONTROLS TRACEABILITY MATRIX (SCTM)</t>
        </is>
      </c>
    </row>
    <row r="2" ht="15" customHeight="1" s="16">
      <c r="A2" s="18" t="inlineStr">
        <is>
          <t>AwardWorks Platform (SaaS) | FedRAMP Moderate Baseline | NIST SP 800-53 Rev. 5 | Sample GRC portfolio artifact — fictional company</t>
        </is>
      </c>
    </row>
    <row r="4" ht="23.85" customHeight="1" s="16">
      <c r="A4" s="19" t="inlineStr">
        <is>
          <t>Control ID</t>
        </is>
      </c>
      <c r="B4" s="19" t="inlineStr">
        <is>
          <t>Control Family</t>
        </is>
      </c>
      <c r="C4" s="19" t="inlineStr">
        <is>
          <t>Control Name</t>
        </is>
      </c>
      <c r="D4" s="19" t="inlineStr">
        <is>
          <t>Baseline</t>
        </is>
      </c>
      <c r="E4" s="19" t="inlineStr">
        <is>
          <t>Implementation Status</t>
        </is>
      </c>
      <c r="F4" s="19" t="inlineStr">
        <is>
          <t>Control Origination</t>
        </is>
      </c>
      <c r="G4" s="19" t="inlineStr">
        <is>
          <t>Implementation Summary</t>
        </is>
      </c>
      <c r="H4" s="19" t="inlineStr">
        <is>
          <t>Assessment Method</t>
        </is>
      </c>
      <c r="I4" s="19" t="inlineStr">
        <is>
          <t>Assessment Result</t>
        </is>
      </c>
      <c r="J4" s="19" t="inlineStr">
        <is>
          <t>Related POA&amp;M ID</t>
        </is>
      </c>
    </row>
    <row r="5" ht="35.05" customHeight="1" s="16">
      <c r="A5" s="20" t="inlineStr">
        <is>
          <t>AC-2</t>
        </is>
      </c>
      <c r="B5" s="20" t="inlineStr">
        <is>
          <t>Access Control</t>
        </is>
      </c>
      <c r="C5" s="20" t="inlineStr">
        <is>
          <t>Account Management</t>
        </is>
      </c>
      <c r="D5" s="20" t="inlineStr">
        <is>
          <t>Moderate</t>
        </is>
      </c>
      <c r="E5" s="20" t="inlineStr">
        <is>
          <t>Implemented</t>
        </is>
      </c>
      <c r="F5" s="20" t="inlineStr">
        <is>
          <t>Service Provider Corporate</t>
        </is>
      </c>
      <c r="G5" s="20" t="inlineStr">
        <is>
          <t>Accounts provisioned via Okta tied to HRIS events; privileged accounts require manager + system owner approval; automated disable at 35 days inactivity.</t>
        </is>
      </c>
      <c r="H5" s="20" t="inlineStr">
        <is>
          <t>Examine, Interview</t>
        </is>
      </c>
      <c r="I5" s="20" t="inlineStr">
        <is>
          <t>Satisfied</t>
        </is>
      </c>
      <c r="J5" s="20" t="n"/>
    </row>
    <row r="6" ht="35.05" customHeight="1" s="16">
      <c r="A6" s="20" t="inlineStr">
        <is>
          <t>AC-2(1)</t>
        </is>
      </c>
      <c r="B6" s="20" t="inlineStr">
        <is>
          <t>Access Control</t>
        </is>
      </c>
      <c r="C6" s="20" t="inlineStr">
        <is>
          <t>Automated System Account Management</t>
        </is>
      </c>
      <c r="D6" s="20" t="inlineStr">
        <is>
          <t>Moderate</t>
        </is>
      </c>
      <c r="E6" s="20" t="inlineStr">
        <is>
          <t>Implemented</t>
        </is>
      </c>
      <c r="F6" s="20" t="inlineStr">
        <is>
          <t>Service Provider Corporate</t>
        </is>
      </c>
      <c r="G6" s="20" t="inlineStr">
        <is>
          <t>Okta Lifecycle Management automates provisioning/deprovisioning; API-driven, no manual account creation in production.</t>
        </is>
      </c>
      <c r="H6" s="20" t="inlineStr">
        <is>
          <t>Examine, Test</t>
        </is>
      </c>
      <c r="I6" s="20" t="inlineStr">
        <is>
          <t>Satisfied</t>
        </is>
      </c>
      <c r="J6" s="20" t="n"/>
    </row>
    <row r="7" ht="35.05" customHeight="1" s="16">
      <c r="A7" s="20" t="inlineStr">
        <is>
          <t>AC-6(9)</t>
        </is>
      </c>
      <c r="B7" s="20" t="inlineStr">
        <is>
          <t>Access Control</t>
        </is>
      </c>
      <c r="C7" s="20" t="inlineStr">
        <is>
          <t>Log Use of Privileged Functions</t>
        </is>
      </c>
      <c r="D7" s="20" t="inlineStr">
        <is>
          <t>Moderate</t>
        </is>
      </c>
      <c r="E7" s="20" t="inlineStr">
        <is>
          <t>Partially Implemented</t>
        </is>
      </c>
      <c r="F7" s="20" t="inlineStr">
        <is>
          <t>Service Provider System-Specific</t>
        </is>
      </c>
      <c r="G7" s="20" t="inlineStr">
        <is>
          <t>Privileged actions logged in CloudTrail and forwarded to SIEM; logging coverage gap identified on legacy reporting subsystem.</t>
        </is>
      </c>
      <c r="H7" s="20" t="inlineStr">
        <is>
          <t>Examine, Test</t>
        </is>
      </c>
      <c r="I7" s="20" t="inlineStr">
        <is>
          <t>Other Than Satisfied</t>
        </is>
      </c>
      <c r="J7" s="20" t="inlineStr">
        <is>
          <t>V-003</t>
        </is>
      </c>
    </row>
    <row r="8" ht="35.05" customHeight="1" s="16">
      <c r="A8" s="20" t="inlineStr">
        <is>
          <t>AC-17</t>
        </is>
      </c>
      <c r="B8" s="20" t="inlineStr">
        <is>
          <t>Access Control</t>
        </is>
      </c>
      <c r="C8" s="20" t="inlineStr">
        <is>
          <t>Remote Access</t>
        </is>
      </c>
      <c r="D8" s="20" t="inlineStr">
        <is>
          <t>Moderate</t>
        </is>
      </c>
      <c r="E8" s="20" t="inlineStr">
        <is>
          <t>Implemented</t>
        </is>
      </c>
      <c r="F8" s="20" t="inlineStr">
        <is>
          <t>Service Provider Corporate</t>
        </is>
      </c>
      <c r="G8" s="20" t="inlineStr">
        <is>
          <t>All remote administrative access requires MFA and traverses a bastion host with session recording; direct SSH from internet is blocked by SCP.</t>
        </is>
      </c>
      <c r="H8" s="20" t="inlineStr">
        <is>
          <t>Examine, Test</t>
        </is>
      </c>
      <c r="I8" s="20" t="inlineStr">
        <is>
          <t>Satisfied</t>
        </is>
      </c>
      <c r="J8" s="20" t="n"/>
    </row>
    <row r="9" ht="35.05" customHeight="1" s="16">
      <c r="A9" s="20" t="inlineStr">
        <is>
          <t>AU-2</t>
        </is>
      </c>
      <c r="B9" s="20" t="inlineStr">
        <is>
          <t>Audit and Accountability</t>
        </is>
      </c>
      <c r="C9" s="20" t="inlineStr">
        <is>
          <t>Event Logging</t>
        </is>
      </c>
      <c r="D9" s="20" t="inlineStr">
        <is>
          <t>Moderate</t>
        </is>
      </c>
      <c r="E9" s="20" t="inlineStr">
        <is>
          <t>Implemented</t>
        </is>
      </c>
      <c r="F9" s="20" t="inlineStr">
        <is>
          <t>Service Provider System-Specific</t>
        </is>
      </c>
      <c r="G9" s="20" t="inlineStr">
        <is>
          <t>Auditable event list documented and approved; covers authentication, authorization, data access, configuration change, and privilege escalation events.</t>
        </is>
      </c>
      <c r="H9" s="20" t="inlineStr">
        <is>
          <t>Examine, Interview</t>
        </is>
      </c>
      <c r="I9" s="20" t="inlineStr">
        <is>
          <t>Satisfied</t>
        </is>
      </c>
      <c r="J9" s="20" t="n"/>
    </row>
    <row r="10" ht="35.05" customHeight="1" s="16">
      <c r="A10" s="20" t="inlineStr">
        <is>
          <t>AU-6</t>
        </is>
      </c>
      <c r="B10" s="20" t="inlineStr">
        <is>
          <t>Audit and Accountability</t>
        </is>
      </c>
      <c r="C10" s="20" t="inlineStr">
        <is>
          <t>Audit Record Review, Analysis, and Reporting</t>
        </is>
      </c>
      <c r="D10" s="20" t="inlineStr">
        <is>
          <t>Moderate</t>
        </is>
      </c>
      <c r="E10" s="20" t="inlineStr">
        <is>
          <t>Partially Implemented</t>
        </is>
      </c>
      <c r="F10" s="20" t="inlineStr">
        <is>
          <t>Service Provider System-Specific</t>
        </is>
      </c>
      <c r="G10" s="20" t="inlineStr">
        <is>
          <t>SIEM correlation rules deployed; documented weekly review procedure exists but review evidence was inconsistent for a two-month period.</t>
        </is>
      </c>
      <c r="H10" s="20" t="inlineStr">
        <is>
          <t>Examine, Interview</t>
        </is>
      </c>
      <c r="I10" s="20" t="inlineStr">
        <is>
          <t>Other Than Satisfied</t>
        </is>
      </c>
      <c r="J10" s="20" t="inlineStr">
        <is>
          <t>V-005</t>
        </is>
      </c>
    </row>
    <row r="11" ht="35.05" customHeight="1" s="16">
      <c r="A11" s="20" t="inlineStr">
        <is>
          <t>AU-11</t>
        </is>
      </c>
      <c r="B11" s="20" t="inlineStr">
        <is>
          <t>Audit and Accountability</t>
        </is>
      </c>
      <c r="C11" s="20" t="inlineStr">
        <is>
          <t>Audit Record Retention</t>
        </is>
      </c>
      <c r="D11" s="20" t="inlineStr">
        <is>
          <t>Moderate</t>
        </is>
      </c>
      <c r="E11" s="20" t="inlineStr">
        <is>
          <t>Implemented</t>
        </is>
      </c>
      <c r="F11" s="20" t="inlineStr">
        <is>
          <t>Service Provider System-Specific</t>
        </is>
      </c>
      <c r="G11" s="20" t="inlineStr">
        <is>
          <t>Audit records retained online for 90 days and in S3 Glacier for 12 months, meeting FedRAMP retention requirements.</t>
        </is>
      </c>
      <c r="H11" s="20" t="inlineStr">
        <is>
          <t>Examine</t>
        </is>
      </c>
      <c r="I11" s="20" t="inlineStr">
        <is>
          <t>Satisfied</t>
        </is>
      </c>
      <c r="J11" s="20" t="n"/>
    </row>
    <row r="12" ht="35.05" customHeight="1" s="16">
      <c r="A12" s="20" t="inlineStr">
        <is>
          <t>CA-7</t>
        </is>
      </c>
      <c r="B12" s="20" t="inlineStr">
        <is>
          <t>Assessment, Authorization, and Monitoring</t>
        </is>
      </c>
      <c r="C12" s="20" t="inlineStr">
        <is>
          <t>Continuous Monitoring</t>
        </is>
      </c>
      <c r="D12" s="20" t="inlineStr">
        <is>
          <t>Moderate</t>
        </is>
      </c>
      <c r="E12" s="20" t="inlineStr">
        <is>
          <t>Partially Implemented</t>
        </is>
      </c>
      <c r="F12" s="20" t="inlineStr">
        <is>
          <t>Service Provider System-Specific</t>
        </is>
      </c>
      <c r="G12" s="20" t="inlineStr">
        <is>
          <t>ConMon program documented with monthly vulnerability scanning and reporting; monthly deliverable submitted late in two of the last six cycles.</t>
        </is>
      </c>
      <c r="H12" s="20" t="inlineStr">
        <is>
          <t>Examine, Interview</t>
        </is>
      </c>
      <c r="I12" s="20" t="inlineStr">
        <is>
          <t>Other Than Satisfied</t>
        </is>
      </c>
      <c r="J12" s="20" t="inlineStr">
        <is>
          <t>V-007</t>
        </is>
      </c>
    </row>
    <row r="13" ht="35.05" customHeight="1" s="16">
      <c r="A13" s="20" t="inlineStr">
        <is>
          <t>CM-2</t>
        </is>
      </c>
      <c r="B13" s="20" t="inlineStr">
        <is>
          <t>Configuration Management</t>
        </is>
      </c>
      <c r="C13" s="20" t="inlineStr">
        <is>
          <t>Baseline Configuration</t>
        </is>
      </c>
      <c r="D13" s="20" t="inlineStr">
        <is>
          <t>Moderate</t>
        </is>
      </c>
      <c r="E13" s="20" t="inlineStr">
        <is>
          <t>Implemented</t>
        </is>
      </c>
      <c r="F13" s="20" t="inlineStr">
        <is>
          <t>Service Provider System-Specific</t>
        </is>
      </c>
      <c r="G13" s="20" t="inlineStr">
        <is>
          <t>Infrastructure defined as code (Terraform); AMIs hardened to CIS Level 1 benchmark and version-controlled.</t>
        </is>
      </c>
      <c r="H13" s="20" t="inlineStr">
        <is>
          <t>Examine, Test</t>
        </is>
      </c>
      <c r="I13" s="20" t="inlineStr">
        <is>
          <t>Satisfied</t>
        </is>
      </c>
      <c r="J13" s="20" t="n"/>
    </row>
    <row r="14" ht="35.05" customHeight="1" s="16">
      <c r="A14" s="20" t="inlineStr">
        <is>
          <t>CM-6</t>
        </is>
      </c>
      <c r="B14" s="20" t="inlineStr">
        <is>
          <t>Configuration Management</t>
        </is>
      </c>
      <c r="C14" s="20" t="inlineStr">
        <is>
          <t>Configuration Settings</t>
        </is>
      </c>
      <c r="D14" s="20" t="inlineStr">
        <is>
          <t>Moderate</t>
        </is>
      </c>
      <c r="E14" s="20" t="inlineStr">
        <is>
          <t>Partially Implemented</t>
        </is>
      </c>
      <c r="F14" s="20" t="inlineStr">
        <is>
          <t>Service Provider System-Specific</t>
        </is>
      </c>
      <c r="G14" s="20" t="inlineStr">
        <is>
          <t>CIS benchmark applied to compute baseline; drift detected on three application servers during assessment sampling.</t>
        </is>
      </c>
      <c r="H14" s="20" t="inlineStr">
        <is>
          <t>Test</t>
        </is>
      </c>
      <c r="I14" s="20" t="inlineStr">
        <is>
          <t>Other Than Satisfied</t>
        </is>
      </c>
      <c r="J14" s="20" t="inlineStr">
        <is>
          <t>V-002</t>
        </is>
      </c>
    </row>
    <row r="15" ht="35.05" customHeight="1" s="16">
      <c r="A15" s="20" t="inlineStr">
        <is>
          <t>CM-7</t>
        </is>
      </c>
      <c r="B15" s="20" t="inlineStr">
        <is>
          <t>Configuration Management</t>
        </is>
      </c>
      <c r="C15" s="20" t="inlineStr">
        <is>
          <t>Least Functionality</t>
        </is>
      </c>
      <c r="D15" s="20" t="inlineStr">
        <is>
          <t>Moderate</t>
        </is>
      </c>
      <c r="E15" s="20" t="inlineStr">
        <is>
          <t>Implemented</t>
        </is>
      </c>
      <c r="F15" s="20" t="inlineStr">
        <is>
          <t>Service Provider System-Specific</t>
        </is>
      </c>
      <c r="G15" s="20" t="inlineStr">
        <is>
          <t>Container images built from minimal base images; unnecessary services and ports disabled by default and enforced via admission controller.</t>
        </is>
      </c>
      <c r="H15" s="20" t="inlineStr">
        <is>
          <t>Examine, Test</t>
        </is>
      </c>
      <c r="I15" s="20" t="inlineStr">
        <is>
          <t>Satisfied</t>
        </is>
      </c>
      <c r="J15" s="20" t="n"/>
    </row>
    <row r="16" ht="23.85" customHeight="1" s="16">
      <c r="A16" s="20" t="inlineStr">
        <is>
          <t>CP-9</t>
        </is>
      </c>
      <c r="B16" s="20" t="inlineStr">
        <is>
          <t>Contingency Planning</t>
        </is>
      </c>
      <c r="C16" s="20" t="inlineStr">
        <is>
          <t>System Backup</t>
        </is>
      </c>
      <c r="D16" s="20" t="inlineStr">
        <is>
          <t>Moderate</t>
        </is>
      </c>
      <c r="E16" s="20" t="inlineStr">
        <is>
          <t>Implemented</t>
        </is>
      </c>
      <c r="F16" s="20" t="inlineStr">
        <is>
          <t>Service Provider System-Specific</t>
        </is>
      </c>
      <c r="G16" s="20" t="inlineStr">
        <is>
          <t>Automated encrypted backups: database PITR (5-min RPO) plus daily full snapshots replicated cross-region.</t>
        </is>
      </c>
      <c r="H16" s="20" t="inlineStr">
        <is>
          <t>Examine, Test</t>
        </is>
      </c>
      <c r="I16" s="20" t="inlineStr">
        <is>
          <t>Satisfied</t>
        </is>
      </c>
      <c r="J16" s="20" t="n"/>
    </row>
    <row r="17" ht="35.05" customHeight="1" s="16">
      <c r="A17" s="20" t="inlineStr">
        <is>
          <t>CP-10</t>
        </is>
      </c>
      <c r="B17" s="20" t="inlineStr">
        <is>
          <t>Contingency Planning</t>
        </is>
      </c>
      <c r="C17" s="20" t="inlineStr">
        <is>
          <t>System Recovery and Reconstitution</t>
        </is>
      </c>
      <c r="D17" s="20" t="inlineStr">
        <is>
          <t>Moderate</t>
        </is>
      </c>
      <c r="E17" s="20" t="inlineStr">
        <is>
          <t>Partially Implemented</t>
        </is>
      </c>
      <c r="F17" s="20" t="inlineStr">
        <is>
          <t>Service Provider System-Specific</t>
        </is>
      </c>
      <c r="G17" s="20" t="inlineStr">
        <is>
          <t>Recovery procedures documented; full-system recovery has not been exercised within the required annual period.</t>
        </is>
      </c>
      <c r="H17" s="20" t="inlineStr">
        <is>
          <t>Examine, Interview</t>
        </is>
      </c>
      <c r="I17" s="20" t="inlineStr">
        <is>
          <t>Other Than Satisfied</t>
        </is>
      </c>
      <c r="J17" s="20" t="inlineStr">
        <is>
          <t>V-004</t>
        </is>
      </c>
    </row>
    <row r="18" ht="23.85" customHeight="1" s="16">
      <c r="A18" s="20" t="inlineStr">
        <is>
          <t>IA-2(1)</t>
        </is>
      </c>
      <c r="B18" s="20" t="inlineStr">
        <is>
          <t>Identification and Authentication</t>
        </is>
      </c>
      <c r="C18" s="20" t="inlineStr">
        <is>
          <t>MFA to Privileged Accounts</t>
        </is>
      </c>
      <c r="D18" s="20" t="inlineStr">
        <is>
          <t>Moderate</t>
        </is>
      </c>
      <c r="E18" s="20" t="inlineStr">
        <is>
          <t>Implemented</t>
        </is>
      </c>
      <c r="F18" s="20" t="inlineStr">
        <is>
          <t>Service Provider Corporate</t>
        </is>
      </c>
      <c r="G18" s="20" t="inlineStr">
        <is>
          <t>Phishing-resistant MFA (FIDO2/WebAuthn) enforced for all privileged accounts via Okta policy.</t>
        </is>
      </c>
      <c r="H18" s="20" t="inlineStr">
        <is>
          <t>Examine, Test</t>
        </is>
      </c>
      <c r="I18" s="20" t="inlineStr">
        <is>
          <t>Satisfied</t>
        </is>
      </c>
      <c r="J18" s="20" t="n"/>
    </row>
    <row r="19" ht="35.05" customHeight="1" s="16">
      <c r="A19" s="20" t="inlineStr">
        <is>
          <t>IA-5</t>
        </is>
      </c>
      <c r="B19" s="20" t="inlineStr">
        <is>
          <t>Identification and Authentication</t>
        </is>
      </c>
      <c r="C19" s="20" t="inlineStr">
        <is>
          <t>Authenticator Management</t>
        </is>
      </c>
      <c r="D19" s="20" t="inlineStr">
        <is>
          <t>Moderate</t>
        </is>
      </c>
      <c r="E19" s="20" t="inlineStr">
        <is>
          <t>Implemented</t>
        </is>
      </c>
      <c r="F19" s="20" t="inlineStr">
        <is>
          <t>Service Provider Corporate</t>
        </is>
      </c>
      <c r="G19" s="20" t="inlineStr">
        <is>
          <t>Password policy aligned to NIST SP 800-63B; no forced periodic rotation, breached-password screening enabled.</t>
        </is>
      </c>
      <c r="H19" s="20" t="inlineStr">
        <is>
          <t>Examine, Test</t>
        </is>
      </c>
      <c r="I19" s="20" t="inlineStr">
        <is>
          <t>Satisfied</t>
        </is>
      </c>
      <c r="J19" s="20" t="n"/>
    </row>
    <row r="20" ht="35.05" customHeight="1" s="16">
      <c r="A20" s="20" t="inlineStr">
        <is>
          <t>IR-4</t>
        </is>
      </c>
      <c r="B20" s="20" t="inlineStr">
        <is>
          <t>Incident Response</t>
        </is>
      </c>
      <c r="C20" s="20" t="inlineStr">
        <is>
          <t>Incident Handling</t>
        </is>
      </c>
      <c r="D20" s="20" t="inlineStr">
        <is>
          <t>Moderate</t>
        </is>
      </c>
      <c r="E20" s="20" t="inlineStr">
        <is>
          <t>Implemented</t>
        </is>
      </c>
      <c r="F20" s="20" t="inlineStr">
        <is>
          <t>Service Provider Corporate</t>
        </is>
      </c>
      <c r="G20" s="20" t="inlineStr">
        <is>
          <t>Documented IR plan with defined severity tiers; 24x7 on-call rotation; US-CERT reporting procedure defined per FedRAMP requirements.</t>
        </is>
      </c>
      <c r="H20" s="20" t="inlineStr">
        <is>
          <t>Examine, Interview</t>
        </is>
      </c>
      <c r="I20" s="20" t="inlineStr">
        <is>
          <t>Satisfied</t>
        </is>
      </c>
      <c r="J20" s="20" t="n"/>
    </row>
    <row r="21" ht="35.05" customHeight="1" s="16">
      <c r="A21" s="20" t="inlineStr">
        <is>
          <t>IR-6</t>
        </is>
      </c>
      <c r="B21" s="20" t="inlineStr">
        <is>
          <t>Incident Response</t>
        </is>
      </c>
      <c r="C21" s="20" t="inlineStr">
        <is>
          <t>Incident Reporting</t>
        </is>
      </c>
      <c r="D21" s="20" t="inlineStr">
        <is>
          <t>Moderate</t>
        </is>
      </c>
      <c r="E21" s="20" t="inlineStr">
        <is>
          <t>Partially Implemented</t>
        </is>
      </c>
      <c r="F21" s="20" t="inlineStr">
        <is>
          <t>Service Provider Corporate</t>
        </is>
      </c>
      <c r="G21" s="20" t="inlineStr">
        <is>
          <t>Internal reporting path defined; the one-hour US-CERT/FedRAMP ISSO notification requirement is documented but has not been exercised in a tabletop.</t>
        </is>
      </c>
      <c r="H21" s="20" t="inlineStr">
        <is>
          <t>Examine, Interview</t>
        </is>
      </c>
      <c r="I21" s="20" t="inlineStr">
        <is>
          <t>Other Than Satisfied</t>
        </is>
      </c>
      <c r="J21" s="20" t="inlineStr">
        <is>
          <t>V-006</t>
        </is>
      </c>
    </row>
    <row r="22" ht="46.25" customHeight="1" s="16">
      <c r="A22" s="20" t="inlineStr">
        <is>
          <t>RA-5</t>
        </is>
      </c>
      <c r="B22" s="20" t="inlineStr">
        <is>
          <t>Risk Assessment</t>
        </is>
      </c>
      <c r="C22" s="20" t="inlineStr">
        <is>
          <t>Vulnerability Monitoring and Scanning</t>
        </is>
      </c>
      <c r="D22" s="20" t="inlineStr">
        <is>
          <t>Moderate</t>
        </is>
      </c>
      <c r="E22" s="20" t="inlineStr">
        <is>
          <t>Partially Implemented</t>
        </is>
      </c>
      <c r="F22" s="20" t="inlineStr">
        <is>
          <t>Service Provider System-Specific</t>
        </is>
      </c>
      <c r="G22" s="20" t="inlineStr">
        <is>
          <t>Authenticated scanning performed monthly on infrastructure, OS, web, and database layers; several High findings exceeded the 30-day FedRAMP remediation window.</t>
        </is>
      </c>
      <c r="H22" s="20" t="inlineStr">
        <is>
          <t>Examine, Test</t>
        </is>
      </c>
      <c r="I22" s="20" t="inlineStr">
        <is>
          <t>Other Than Satisfied</t>
        </is>
      </c>
      <c r="J22" s="20" t="inlineStr">
        <is>
          <t>V-001</t>
        </is>
      </c>
    </row>
    <row r="23" ht="35.05" customHeight="1" s="16">
      <c r="A23" s="20" t="inlineStr">
        <is>
          <t>SA-11</t>
        </is>
      </c>
      <c r="B23" s="20" t="inlineStr">
        <is>
          <t>System and Services Acquisition</t>
        </is>
      </c>
      <c r="C23" s="20" t="inlineStr">
        <is>
          <t>Developer Testing and Evaluation</t>
        </is>
      </c>
      <c r="D23" s="20" t="inlineStr">
        <is>
          <t>Moderate</t>
        </is>
      </c>
      <c r="E23" s="20" t="inlineStr">
        <is>
          <t>Implemented</t>
        </is>
      </c>
      <c r="F23" s="20" t="inlineStr">
        <is>
          <t>Service Provider Corporate</t>
        </is>
      </c>
      <c r="G23" s="20" t="inlineStr">
        <is>
          <t>SAST and dependency scanning enforced in CI; annual third-party penetration test performed with findings tracked to closure.</t>
        </is>
      </c>
      <c r="H23" s="20" t="inlineStr">
        <is>
          <t>Examine</t>
        </is>
      </c>
      <c r="I23" s="20" t="inlineStr">
        <is>
          <t>Satisfied</t>
        </is>
      </c>
      <c r="J23" s="20" t="n"/>
    </row>
    <row r="24" ht="46.25" customHeight="1" s="16">
      <c r="A24" s="20" t="inlineStr">
        <is>
          <t>SC-7</t>
        </is>
      </c>
      <c r="B24" s="20" t="inlineStr">
        <is>
          <t>System and Communications Protection</t>
        </is>
      </c>
      <c r="C24" s="20" t="inlineStr">
        <is>
          <t>Boundary Protection</t>
        </is>
      </c>
      <c r="D24" s="20" t="inlineStr">
        <is>
          <t>Moderate</t>
        </is>
      </c>
      <c r="E24" s="20" t="inlineStr">
        <is>
          <t>Implemented</t>
        </is>
      </c>
      <c r="F24" s="20" t="inlineStr">
        <is>
          <t>Service Provider System-Specific</t>
        </is>
      </c>
      <c r="G24" s="20" t="inlineStr">
        <is>
          <t>Authorization boundary enforced via VPC segmentation, security groups, WAF, and a deny-by-default egress policy; managed interfaces documented in the SSP.</t>
        </is>
      </c>
      <c r="H24" s="20" t="inlineStr">
        <is>
          <t>Examine, Test</t>
        </is>
      </c>
      <c r="I24" s="20" t="inlineStr">
        <is>
          <t>Satisfied</t>
        </is>
      </c>
      <c r="J24" s="20" t="n"/>
    </row>
    <row r="25" ht="35.05" customHeight="1" s="16">
      <c r="A25" s="20" t="inlineStr">
        <is>
          <t>SC-8</t>
        </is>
      </c>
      <c r="B25" s="20" t="inlineStr">
        <is>
          <t>System and Communications Protection</t>
        </is>
      </c>
      <c r="C25" s="20" t="inlineStr">
        <is>
          <t>Transmission Confidentiality and Integrity</t>
        </is>
      </c>
      <c r="D25" s="20" t="inlineStr">
        <is>
          <t>Moderate</t>
        </is>
      </c>
      <c r="E25" s="20" t="inlineStr">
        <is>
          <t>Implemented</t>
        </is>
      </c>
      <c r="F25" s="20" t="inlineStr">
        <is>
          <t>Service Provider System-Specific</t>
        </is>
      </c>
      <c r="G25" s="20" t="inlineStr">
        <is>
          <t>TLS 1.2+ with FIPS 140-3 validated cryptographic modules enforced on all external and internal service-to-service communication.</t>
        </is>
      </c>
      <c r="H25" s="20" t="inlineStr">
        <is>
          <t>Examine, Test</t>
        </is>
      </c>
      <c r="I25" s="20" t="inlineStr">
        <is>
          <t>Satisfied</t>
        </is>
      </c>
      <c r="J25" s="20" t="n"/>
    </row>
    <row r="26" ht="35.05" customHeight="1" s="16">
      <c r="A26" s="20" t="inlineStr">
        <is>
          <t>SC-13</t>
        </is>
      </c>
      <c r="B26" s="20" t="inlineStr">
        <is>
          <t>System and Communications Protection</t>
        </is>
      </c>
      <c r="C26" s="20" t="inlineStr">
        <is>
          <t>Cryptographic Protection</t>
        </is>
      </c>
      <c r="D26" s="20" t="inlineStr">
        <is>
          <t>Moderate</t>
        </is>
      </c>
      <c r="E26" s="20" t="inlineStr">
        <is>
          <t>Implemented</t>
        </is>
      </c>
      <c r="F26" s="20" t="inlineStr">
        <is>
          <t>Service Provider System-Specific</t>
        </is>
      </c>
      <c r="G26" s="20" t="inlineStr">
        <is>
          <t>FIPS 140-3 validated modules used for all cryptographic operations; AWS KMS FIPS endpoints in use.</t>
        </is>
      </c>
      <c r="H26" s="20" t="inlineStr">
        <is>
          <t>Examine</t>
        </is>
      </c>
      <c r="I26" s="20" t="inlineStr">
        <is>
          <t>Satisfied</t>
        </is>
      </c>
      <c r="J26" s="20" t="n"/>
    </row>
    <row r="27" ht="35.05" customHeight="1" s="16">
      <c r="A27" s="20" t="inlineStr">
        <is>
          <t>SC-28</t>
        </is>
      </c>
      <c r="B27" s="20" t="inlineStr">
        <is>
          <t>System and Communications Protection</t>
        </is>
      </c>
      <c r="C27" s="20" t="inlineStr">
        <is>
          <t>Protection of Information at Rest</t>
        </is>
      </c>
      <c r="D27" s="20" t="inlineStr">
        <is>
          <t>Moderate</t>
        </is>
      </c>
      <c r="E27" s="20" t="inlineStr">
        <is>
          <t>Implemented</t>
        </is>
      </c>
      <c r="F27" s="20" t="inlineStr">
        <is>
          <t>Service Provider System-Specific</t>
        </is>
      </c>
      <c r="G27" s="20" t="inlineStr">
        <is>
          <t>All data stores encrypted at rest with AES-256 via customer-managed KMS keys with annual rotation.</t>
        </is>
      </c>
      <c r="H27" s="20" t="inlineStr">
        <is>
          <t>Examine, Test</t>
        </is>
      </c>
      <c r="I27" s="20" t="inlineStr">
        <is>
          <t>Satisfied</t>
        </is>
      </c>
      <c r="J27" s="20" t="n"/>
    </row>
    <row r="28" ht="35.05" customHeight="1" s="16">
      <c r="A28" s="20" t="inlineStr">
        <is>
          <t>SI-2</t>
        </is>
      </c>
      <c r="B28" s="20" t="inlineStr">
        <is>
          <t>System and Information Integrity</t>
        </is>
      </c>
      <c r="C28" s="20" t="inlineStr">
        <is>
          <t>Flaw Remediation</t>
        </is>
      </c>
      <c r="D28" s="20" t="inlineStr">
        <is>
          <t>Moderate</t>
        </is>
      </c>
      <c r="E28" s="20" t="inlineStr">
        <is>
          <t>Partially Implemented</t>
        </is>
      </c>
      <c r="F28" s="20" t="inlineStr">
        <is>
          <t>Service Provider System-Specific</t>
        </is>
      </c>
      <c r="G28" s="20" t="inlineStr">
        <is>
          <t>Patching automated for OS/container layers; remediation SLA missed for a subset of High-severity findings (see RA-5).</t>
        </is>
      </c>
      <c r="H28" s="20" t="inlineStr">
        <is>
          <t>Examine, Test</t>
        </is>
      </c>
      <c r="I28" s="20" t="inlineStr">
        <is>
          <t>Other Than Satisfied</t>
        </is>
      </c>
      <c r="J28" s="20" t="inlineStr">
        <is>
          <t>V-001</t>
        </is>
      </c>
    </row>
    <row r="29" ht="35.05" customHeight="1" s="16">
      <c r="A29" s="20" t="inlineStr">
        <is>
          <t>SI-4</t>
        </is>
      </c>
      <c r="B29" s="20" t="inlineStr">
        <is>
          <t>System and Information Integrity</t>
        </is>
      </c>
      <c r="C29" s="20" t="inlineStr">
        <is>
          <t>System Monitoring</t>
        </is>
      </c>
      <c r="D29" s="20" t="inlineStr">
        <is>
          <t>Moderate</t>
        </is>
      </c>
      <c r="E29" s="20" t="inlineStr">
        <is>
          <t>Implemented</t>
        </is>
      </c>
      <c r="F29" s="20" t="inlineStr">
        <is>
          <t>Service Provider System-Specific</t>
        </is>
      </c>
      <c r="G29" s="20" t="inlineStr">
        <is>
          <t>IDS/IPS via GuardDuty, host-based monitoring, and file integrity monitoring feeding the SIEM with 24x7 alerting.</t>
        </is>
      </c>
      <c r="H29" s="20" t="inlineStr">
        <is>
          <t>Examine, Test</t>
        </is>
      </c>
      <c r="I29" s="20" t="inlineStr">
        <is>
          <t>Satisfied</t>
        </is>
      </c>
      <c r="J29" s="20" t="n"/>
    </row>
    <row r="30" ht="35.05" customHeight="1" s="16">
      <c r="A30" s="20" t="inlineStr">
        <is>
          <t>PS-3</t>
        </is>
      </c>
      <c r="B30" s="20" t="inlineStr">
        <is>
          <t>Personnel Security</t>
        </is>
      </c>
      <c r="C30" s="20" t="inlineStr">
        <is>
          <t>Personnel Screening</t>
        </is>
      </c>
      <c r="D30" s="20" t="inlineStr">
        <is>
          <t>Moderate</t>
        </is>
      </c>
      <c r="E30" s="20" t="inlineStr">
        <is>
          <t>Implemented</t>
        </is>
      </c>
      <c r="F30" s="20" t="inlineStr">
        <is>
          <t>Service Provider Corporate</t>
        </is>
      </c>
      <c r="G30" s="20" t="inlineStr">
        <is>
          <t>Background investigations completed for all personnel with system access prior to provisioning; re-screening every five years.</t>
        </is>
      </c>
      <c r="H30" s="20" t="inlineStr">
        <is>
          <t>Examine, Interview</t>
        </is>
      </c>
      <c r="I30" s="20" t="inlineStr">
        <is>
          <t>Satisfied</t>
        </is>
      </c>
      <c r="J30" s="20" t="n"/>
    </row>
    <row r="31" ht="35.05" customHeight="1" s="16">
      <c r="A31" s="20" t="inlineStr">
        <is>
          <t>AT-2</t>
        </is>
      </c>
      <c r="B31" s="20" t="inlineStr">
        <is>
          <t>Awareness and Training</t>
        </is>
      </c>
      <c r="C31" s="20" t="inlineStr">
        <is>
          <t>Literacy Training and Awareness</t>
        </is>
      </c>
      <c r="D31" s="20" t="inlineStr">
        <is>
          <t>Moderate</t>
        </is>
      </c>
      <c r="E31" s="20" t="inlineStr">
        <is>
          <t>Implemented</t>
        </is>
      </c>
      <c r="F31" s="20" t="inlineStr">
        <is>
          <t>Service Provider Corporate</t>
        </is>
      </c>
      <c r="G31" s="20" t="inlineStr">
        <is>
          <t>Annual security awareness training with role-based modules for privileged users; completion tracked at 100% for in-scope personnel.</t>
        </is>
      </c>
      <c r="H31" s="20" t="inlineStr">
        <is>
          <t>Examine</t>
        </is>
      </c>
      <c r="I31" s="20" t="inlineStr">
        <is>
          <t>Satisfied</t>
        </is>
      </c>
      <c r="J31" s="20" t="n"/>
    </row>
    <row r="32" ht="35.05" customHeight="1" s="16">
      <c r="A32" s="20" t="inlineStr">
        <is>
          <t>MP-6</t>
        </is>
      </c>
      <c r="B32" s="20" t="inlineStr">
        <is>
          <t>Media Protection</t>
        </is>
      </c>
      <c r="C32" s="20" t="inlineStr">
        <is>
          <t>Media Sanitization</t>
        </is>
      </c>
      <c r="D32" s="20" t="inlineStr">
        <is>
          <t>Moderate</t>
        </is>
      </c>
      <c r="E32" s="20" t="inlineStr">
        <is>
          <t>Inherited</t>
        </is>
      </c>
      <c r="F32" s="20" t="inlineStr">
        <is>
          <t>Inherited from AWS (FedRAMP High P-ATO)</t>
        </is>
      </c>
      <c r="G32" s="20" t="inlineStr">
        <is>
          <t>Media sanitization is inherited from the underlying IaaS provider; customer responsibility limited to logical data deletion.</t>
        </is>
      </c>
      <c r="H32" s="20" t="inlineStr">
        <is>
          <t>Examine</t>
        </is>
      </c>
      <c r="I32" s="20" t="inlineStr">
        <is>
          <t>Satisfied</t>
        </is>
      </c>
      <c r="J32" s="20" t="n"/>
    </row>
    <row r="33" ht="35.05" customHeight="1" s="16">
      <c r="A33" s="20" t="inlineStr">
        <is>
          <t>PE-3</t>
        </is>
      </c>
      <c r="B33" s="20" t="inlineStr">
        <is>
          <t>Physical and Environmental Protection</t>
        </is>
      </c>
      <c r="C33" s="20" t="inlineStr">
        <is>
          <t>Physical Access Control</t>
        </is>
      </c>
      <c r="D33" s="20" t="inlineStr">
        <is>
          <t>Moderate</t>
        </is>
      </c>
      <c r="E33" s="20" t="inlineStr">
        <is>
          <t>Inherited</t>
        </is>
      </c>
      <c r="F33" s="20" t="inlineStr">
        <is>
          <t>Inherited from AWS (FedRAMP High P-ATO)</t>
        </is>
      </c>
      <c r="G33" s="20" t="inlineStr">
        <is>
          <t>Physical access to data centers is fully inherited from the underlying IaaS provider's authorized environment.</t>
        </is>
      </c>
      <c r="H33" s="20" t="inlineStr">
        <is>
          <t>Examine</t>
        </is>
      </c>
      <c r="I33" s="20" t="inlineStr">
        <is>
          <t>Satisfied</t>
        </is>
      </c>
      <c r="J33" s="20" t="n"/>
    </row>
    <row r="34" ht="35.05" customHeight="1" s="16">
      <c r="A34" s="20" t="inlineStr">
        <is>
          <t>PL-2</t>
        </is>
      </c>
      <c r="B34" s="20" t="inlineStr">
        <is>
          <t>Planning</t>
        </is>
      </c>
      <c r="C34" s="20" t="inlineStr">
        <is>
          <t>System Security and Privacy Plans</t>
        </is>
      </c>
      <c r="D34" s="20" t="inlineStr">
        <is>
          <t>Moderate</t>
        </is>
      </c>
      <c r="E34" s="20" t="inlineStr">
        <is>
          <t>Implemented</t>
        </is>
      </c>
      <c r="F34" s="20" t="inlineStr">
        <is>
          <t>Service Provider System-Specific</t>
        </is>
      </c>
      <c r="G34" s="20" t="inlineStr">
        <is>
          <t>This SSP documents the authorization boundary, control implementations, and system environment; reviewed and updated at least annually.</t>
        </is>
      </c>
      <c r="H34" s="20" t="inlineStr">
        <is>
          <t>Examine</t>
        </is>
      </c>
      <c r="I34" s="20" t="inlineStr">
        <is>
          <t>Satisfied</t>
        </is>
      </c>
      <c r="J34" s="20" t="n"/>
    </row>
  </sheetData>
  <mergeCells count="2">
    <mergeCell ref="A1:J1"/>
    <mergeCell ref="A2:J2"/>
  </mergeCells>
  <conditionalFormatting sqref="E5:E34">
    <cfRule type="expression" rank="0" priority="2" equalAverage="0" aboveAverage="0" dxfId="0" text="" percent="0" bottom="0">
      <formula>EXACT(E5,"Implemented")</formula>
    </cfRule>
    <cfRule type="expression" rank="0" priority="3" equalAverage="0" aboveAverage="0" dxfId="1" text="" percent="0" bottom="0">
      <formula>EXACT(E5,"Partially Implemented")</formula>
    </cfRule>
    <cfRule type="expression" rank="0" priority="4" equalAverage="0" aboveAverage="0" dxfId="2" text="" percent="0" bottom="0">
      <formula>EXACT(E5,"Inherited")</formula>
    </cfRule>
  </conditionalFormatting>
  <conditionalFormatting sqref="I5:I34">
    <cfRule type="expression" rank="0" priority="5" equalAverage="0" aboveAverage="0" dxfId="0" text="" percent="0" bottom="0">
      <formula>EXACT(I5,"Satisfied")</formula>
    </cfRule>
    <cfRule type="expression" rank="0" priority="6" equalAverage="0" aboveAverage="0" dxfId="3" text="" percent="0" bottom="0">
      <formula>EXACT(I5,"Other Than Satisfied")</formula>
    </cfRule>
  </conditionalFormatting>
  <dataValidations count="2">
    <dataValidation sqref="E5:E64" showDropDown="0" showInputMessage="0" showErrorMessage="0" allowBlank="1" type="list" errorStyle="stop" operator="between">
      <formula1>"Implemented,Partially Implemented,Planned,Alternative Implementation,Not Applicable,Inherited"</formula1>
      <formula2>0</formula2>
    </dataValidation>
    <dataValidation sqref="I5:I64" showDropDown="0" showInputMessage="0" showErrorMessage="0" allowBlank="1" type="list" errorStyle="stop" operator="between">
      <formula1>"Satisfied,Other Than Satisfied,Not Assessed"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12" customWidth="1" style="15" min="2" max="2"/>
    <col width="22" customWidth="1" style="15" min="3" max="3"/>
  </cols>
  <sheetData>
    <row r="1" ht="19.7" customHeight="1" s="16">
      <c r="A1" s="17" t="inlineStr">
        <is>
          <t>CONTROL IMPLEMENTATION SUMMARY</t>
        </is>
      </c>
    </row>
    <row r="2" ht="15" customHeight="1" s="16">
      <c r="A2" s="18" t="inlineStr">
        <is>
          <t>Counts derived from the SCTM tab. Full FedRAMP Moderate baseline is 323 controls; this sample documents a representative subset.</t>
        </is>
      </c>
    </row>
    <row r="4" ht="15" customHeight="1" s="16">
      <c r="A4" s="21" t="inlineStr">
        <is>
          <t>Implementation Status</t>
        </is>
      </c>
      <c r="B4" s="21" t="inlineStr">
        <is>
          <t>Count</t>
        </is>
      </c>
      <c r="C4" s="21" t="inlineStr">
        <is>
          <t>% of Sampled Controls</t>
        </is>
      </c>
    </row>
    <row r="5" ht="15" customHeight="1" s="16">
      <c r="A5" s="22" t="inlineStr">
        <is>
          <t>Implemented</t>
        </is>
      </c>
      <c r="B5" s="22">
        <f>COUNTIF(SCTM!$E$5:$E$34,A5)</f>
        <v/>
      </c>
      <c r="C5" s="23">
        <f>IFERROR(B5/SUM($B$5:$B$9),0)</f>
        <v/>
      </c>
    </row>
    <row r="6" ht="15" customHeight="1" s="16">
      <c r="A6" s="22" t="inlineStr">
        <is>
          <t>Partially Implemented</t>
        </is>
      </c>
      <c r="B6" s="22">
        <f>COUNTIF(SCTM!$E$5:$E$34,A6)</f>
        <v/>
      </c>
      <c r="C6" s="23">
        <f>IFERROR(B6/SUM($B$5:$B$9),0)</f>
        <v/>
      </c>
    </row>
    <row r="7" ht="15" customHeight="1" s="16">
      <c r="A7" s="22" t="inlineStr">
        <is>
          <t>Inherited</t>
        </is>
      </c>
      <c r="B7" s="22">
        <f>COUNTIF(SCTM!$E$5:$E$34,A7)</f>
        <v/>
      </c>
      <c r="C7" s="23">
        <f>IFERROR(B7/SUM($B$5:$B$9),0)</f>
        <v/>
      </c>
    </row>
    <row r="8" ht="15" customHeight="1" s="16">
      <c r="A8" s="22" t="inlineStr">
        <is>
          <t>Planned</t>
        </is>
      </c>
      <c r="B8" s="22">
        <f>COUNTIF(SCTM!$E$5:$E$34,A8)</f>
        <v/>
      </c>
      <c r="C8" s="23">
        <f>IFERROR(B8/SUM($B$5:$B$9),0)</f>
        <v/>
      </c>
    </row>
    <row r="9" ht="15" customHeight="1" s="16">
      <c r="A9" s="22" t="inlineStr">
        <is>
          <t>Not Applicable</t>
        </is>
      </c>
      <c r="B9" s="22">
        <f>COUNTIF(SCTM!$E$5:$E$34,A9)</f>
        <v/>
      </c>
      <c r="C9" s="23">
        <f>IFERROR(B9/SUM($B$5:$B$9),0)</f>
        <v/>
      </c>
    </row>
    <row r="10" ht="15" customHeight="1" s="16">
      <c r="A10" s="24" t="inlineStr">
        <is>
          <t>TOTAL</t>
        </is>
      </c>
      <c r="B10" s="24">
        <f>SUM(B5:B9)</f>
        <v/>
      </c>
      <c r="C10" s="25" t="n"/>
    </row>
    <row r="12" ht="15" customHeight="1" s="16">
      <c r="A12" s="26" t="inlineStr">
        <is>
          <t>Assessment Result</t>
        </is>
      </c>
    </row>
    <row r="13" ht="15" customHeight="1" s="16">
      <c r="A13" s="21" t="inlineStr">
        <is>
          <t>Result</t>
        </is>
      </c>
      <c r="B13" s="21" t="inlineStr">
        <is>
          <t>Count</t>
        </is>
      </c>
      <c r="C13" s="21" t="inlineStr">
        <is>
          <t>% of Sampled Controls</t>
        </is>
      </c>
    </row>
    <row r="14" ht="15" customHeight="1" s="16">
      <c r="A14" s="22" t="inlineStr">
        <is>
          <t>Satisfied</t>
        </is>
      </c>
      <c r="B14" s="22">
        <f>COUNTIF(SCTM!$I$5:$I$34,A14)</f>
        <v/>
      </c>
      <c r="C14" s="23">
        <f>IFERROR(B14/SUM($B$14:$B$15),0)</f>
        <v/>
      </c>
    </row>
    <row r="15" ht="15" customHeight="1" s="16">
      <c r="A15" s="22" t="inlineStr">
        <is>
          <t>Other Than Satisfied</t>
        </is>
      </c>
      <c r="B15" s="22">
        <f>COUNTIF(SCTM!$I$5:$I$34,A15)</f>
        <v/>
      </c>
      <c r="C15" s="23">
        <f>IFERROR(B15/SUM($B$14:$B$15),0)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5" min="1" max="1"/>
    <col width="105" customWidth="1" style="15" min="2" max="2"/>
  </cols>
  <sheetData>
    <row r="1" ht="19.7" customHeight="1" s="16">
      <c r="A1" s="17" t="inlineStr">
        <is>
          <t>SCTM — LEGEND &amp; METHODOLOGY</t>
        </is>
      </c>
    </row>
    <row r="2" ht="23.85" customHeight="1" s="16">
      <c r="A2" s="27" t="inlineStr">
        <is>
          <t>Purpose</t>
        </is>
      </c>
      <c r="B2" s="28" t="inlineStr">
        <is>
          <t>The Security Controls Traceability Matrix documents how each NIST SP 800-53 Rev. 5 control in the FedRAMP Moderate baseline is implemented, who is responsible for it, how it was assessed, and whether it passed.</t>
        </is>
      </c>
    </row>
    <row r="3" ht="23.85" customHeight="1" s="16">
      <c r="A3" s="27" t="inlineStr">
        <is>
          <t>Implementation Status</t>
        </is>
      </c>
      <c r="B3" s="28" t="inlineStr">
        <is>
          <t>Implemented | Partially Implemented | Planned | Alternative Implementation | Not Applicable | Inherited (from an underlying authorized service provider)</t>
        </is>
      </c>
    </row>
    <row r="4" ht="23.85" customHeight="1" s="16">
      <c r="A4" s="27" t="inlineStr">
        <is>
          <t>Control Origination</t>
        </is>
      </c>
      <c r="B4" s="28" t="inlineStr">
        <is>
          <t>Service Provider Corporate (org-wide control) | Service Provider System-Specific (unique to this system) | Inherited | Customer (Configured/Provided) | Shared</t>
        </is>
      </c>
    </row>
    <row r="5" ht="15" customHeight="1" s="16">
      <c r="A5" s="27" t="inlineStr">
        <is>
          <t>Assessment Methods</t>
        </is>
      </c>
      <c r="B5" s="28" t="inlineStr">
        <is>
          <t>Examine (documentation/artifacts), Interview (personnel), Test (technical validation) — per NIST SP 800-53A</t>
        </is>
      </c>
    </row>
    <row r="6" ht="15" customHeight="1" s="16">
      <c r="A6" s="27" t="inlineStr">
        <is>
          <t>Assessment Result</t>
        </is>
      </c>
      <c r="B6" s="28" t="inlineStr">
        <is>
          <t>Satisfied = control operating as designed | Other Than Satisfied = deficiency identified, which generates a POA&amp;M item</t>
        </is>
      </c>
    </row>
    <row r="7" ht="23.85" customHeight="1" s="16">
      <c r="A7" s="27" t="inlineStr">
        <is>
          <t>Traceability</t>
        </is>
      </c>
      <c r="B7" s="28" t="inlineStr">
        <is>
          <t>Every 'Other Than Satisfied' control links to a POA&amp;M ID in the Related POA&amp;M ID column, so a reviewer can trace a control deficiency straight to its remediation plan and due date.</t>
        </is>
      </c>
    </row>
    <row r="8" ht="23.85" customHeight="1" s="16">
      <c r="A8" s="27" t="inlineStr">
        <is>
          <t>Scope note</t>
        </is>
      </c>
      <c r="B8" s="28" t="inlineStr">
        <is>
          <t>This sample documents 30 representative controls across 15 families. A production FedRAMP Moderate SSP addresses all 323 controls and enhancements.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2026-08-13T15:12:05Z</dcterms:created>
  <dcterms:modified xmlns:dcterms="http://purl.org/dc/terms/" xmlns:xsi="http://www.w3.org/2001/XMLSchema-instance" xsi:type="dcterms:W3CDTF">2026-08-13T20:48:10Z</dcterms:modified>
  <cp:revision>0</cp:revision>
</cp:coreProperties>
</file>