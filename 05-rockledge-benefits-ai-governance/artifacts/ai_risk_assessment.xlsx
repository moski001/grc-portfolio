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I Risk Register" sheetId="1" state="visible" r:id="rId1"/>
    <sheet xmlns:r="http://schemas.openxmlformats.org/officeDocument/2006/relationships" name="Trustworthiness Coverage" sheetId="2" state="visible" r:id="rId2"/>
    <sheet xmlns:r="http://schemas.openxmlformats.org/officeDocument/2006/relationships" name="Method" sheetId="3" state="visible" r:id="rId3"/>
  </sheets>
  <definedNames>
    <definedName name="_xlnm.Print_Area" localSheetId="0">'AI Risk Register'!$A$1:$U$16</definedName>
    <definedName name="_xlnm.Print_Area" localSheetId="1">'Trustworthiness Coverage'!$A$1:$D$11</definedName>
    <definedName name="_xlnm.Print_Area" localSheetId="2">'Method'!$A$1:$B$12</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FFFFFF"/>
      <sz val="10"/>
    </font>
    <font>
      <name val="Arial"/>
      <charset val="1"/>
      <family val="0"/>
      <sz val="10"/>
    </font>
    <font>
      <name val="Arial"/>
      <charset val="1"/>
      <family val="0"/>
      <b val="1"/>
      <sz val="10"/>
    </font>
  </fonts>
  <fills count="3">
    <fill>
      <patternFill/>
    </fill>
    <fill>
      <patternFill patternType="gray125"/>
    </fill>
    <fill>
      <patternFill patternType="solid">
        <fgColor rgb="FF1F3864"/>
        <bgColor rgb="FF33333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Arial"/>
        <charset val="1"/>
        <family val="0"/>
        <b val="1"/>
        <color rgb="FFFFFFFF"/>
      </font>
      <fill>
        <patternFill>
          <bgColor rgb="FFC00000"/>
        </patternFill>
      </fill>
    </dxf>
    <dxf>
      <font>
        <name val="Arial"/>
        <charset val="1"/>
        <family val="0"/>
        <color rgb="FF000000"/>
      </font>
      <fill>
        <patternFill>
          <bgColor rgb="FFED7D31"/>
        </patternFill>
      </fill>
    </dxf>
    <dxf>
      <font>
        <name val="Arial"/>
        <charset val="1"/>
        <family val="0"/>
        <color rgb="FF000000"/>
      </font>
      <fill>
        <patternFill>
          <bgColor rgb="FFFFC000"/>
        </patternFill>
      </fill>
    </dxf>
    <dxf>
      <font>
        <name val="Arial"/>
        <charset val="1"/>
        <family val="0"/>
        <b val="1"/>
        <color rgb="FFFFFFFF"/>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U17"/>
  <sheetViews>
    <sheetView showFormulas="0" showGridLines="1"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9" customWidth="1" style="9" min="1" max="1"/>
    <col width="20" customWidth="1" style="9" min="2" max="2"/>
    <col width="18" customWidth="1" style="9" min="3" max="3"/>
    <col width="20" customWidth="1" style="9" min="4" max="4"/>
    <col width="40" customWidth="1" style="9" min="5" max="5"/>
    <col width="16" customWidth="1" style="9" min="6" max="6"/>
    <col width="18" customWidth="1" style="9" min="7" max="7"/>
    <col width="10" customWidth="1" style="9" min="8" max="9"/>
    <col width="9" customWidth="1" style="9" min="10" max="10"/>
    <col width="10" customWidth="1" style="9" min="11" max="11"/>
    <col width="34" customWidth="1" style="9" min="12" max="12"/>
    <col width="10" customWidth="1" style="9" min="13" max="14"/>
    <col width="9" customWidth="1" style="9" min="15" max="15"/>
    <col width="10" customWidth="1" style="9" min="16" max="16"/>
    <col width="11" customWidth="1" style="9" min="17" max="17"/>
    <col width="40" customWidth="1" style="9" min="18" max="18"/>
    <col width="12" customWidth="1" style="9" min="19" max="19"/>
    <col width="18" customWidth="1" style="9" min="20" max="20"/>
    <col width="12" customWidth="1" style="9" min="21" max="21"/>
  </cols>
  <sheetData>
    <row r="1" ht="19.7" customHeight="1" s="10">
      <c r="A1" s="11" t="inlineStr">
        <is>
          <t>ROCKLEDGE BENEFITS ADMINISTRATORS — AI RISK ASSESSMENT (NIST AI RMF MAP / MEASURE)</t>
        </is>
      </c>
    </row>
    <row r="2" ht="15" customHeight="1" s="10">
      <c r="A2" s="12" t="inlineStr">
        <is>
          <t>Risks assessed against NIST AI RMF trustworthiness characteristics and AI 600-1 GenAI risk categories | EU AI Act as amended by Reg. (EU) 2026/1744 (in force 27 Jul 2026) | Assessment date: 2026-08-05 | Fictional organization. Created for portfolio demonstration purposes.</t>
        </is>
      </c>
    </row>
    <row r="4" ht="35.05" customHeight="1" s="10">
      <c r="A4" s="13" t="inlineStr">
        <is>
          <t>Risk ID</t>
        </is>
      </c>
      <c r="B4" s="13" t="inlineStr">
        <is>
          <t>AI System</t>
        </is>
      </c>
      <c r="C4" s="13" t="inlineStr">
        <is>
          <t>AI RMF Trustworthiness Characteristic</t>
        </is>
      </c>
      <c r="D4" s="13" t="inlineStr">
        <is>
          <t>GenAI Risk Category (AI 600-1)</t>
        </is>
      </c>
      <c r="E4" s="13" t="inlineStr">
        <is>
          <t>Risk Description</t>
        </is>
      </c>
      <c r="F4" s="13" t="inlineStr">
        <is>
          <t>Harm Type</t>
        </is>
      </c>
      <c r="G4" s="13" t="inlineStr">
        <is>
          <t>Affected Population</t>
        </is>
      </c>
      <c r="H4" s="13" t="inlineStr">
        <is>
          <t>Inherent Likelihood</t>
        </is>
      </c>
      <c r="I4" s="13" t="inlineStr">
        <is>
          <t>Inherent Impact</t>
        </is>
      </c>
      <c r="J4" s="13" t="inlineStr">
        <is>
          <t>Inherent Score</t>
        </is>
      </c>
      <c r="K4" s="13" t="inlineStr">
        <is>
          <t>Inherent Level</t>
        </is>
      </c>
      <c r="L4" s="13" t="inlineStr">
        <is>
          <t>Existing Controls</t>
        </is>
      </c>
      <c r="M4" s="13" t="inlineStr">
        <is>
          <t>Residual Likelihood</t>
        </is>
      </c>
      <c r="N4" s="13" t="inlineStr">
        <is>
          <t>Residual Impact</t>
        </is>
      </c>
      <c r="O4" s="13" t="inlineStr">
        <is>
          <t>Residual Score</t>
        </is>
      </c>
      <c r="P4" s="13" t="inlineStr">
        <is>
          <t>Residual Level</t>
        </is>
      </c>
      <c r="Q4" s="13" t="inlineStr">
        <is>
          <t>Treatment</t>
        </is>
      </c>
      <c r="R4" s="13" t="inlineStr">
        <is>
          <t>Planned Controls / Actions</t>
        </is>
      </c>
      <c r="S4" s="13" t="inlineStr">
        <is>
          <t>AI RMF Function</t>
        </is>
      </c>
      <c r="T4" s="13" t="inlineStr">
        <is>
          <t>Owner</t>
        </is>
      </c>
      <c r="U4" s="13" t="inlineStr">
        <is>
          <t>Target Date</t>
        </is>
      </c>
    </row>
    <row r="5" ht="57.45" customHeight="1" s="10">
      <c r="A5" s="14" t="inlineStr">
        <is>
          <t>AIR-001</t>
        </is>
      </c>
      <c r="B5" s="14" t="inlineStr">
        <is>
          <t>AI-001 ClaimDesk</t>
        </is>
      </c>
      <c r="C5" s="14" t="inlineStr">
        <is>
          <t>Fair — with harmful bias managed</t>
        </is>
      </c>
      <c r="D5" s="14" t="inlineStr">
        <is>
          <t>—</t>
        </is>
      </c>
      <c r="E5" s="14" t="inlineStr">
        <is>
          <t>Model trained on historical adjudication data may encode past disparities; denial recommendations may differ by protected characteristic proxied through ZIP code and plan type.</t>
        </is>
      </c>
      <c r="F5" s="14" t="inlineStr">
        <is>
          <t>Discriminatory outcome; regulatory</t>
        </is>
      </c>
      <c r="G5" s="14" t="inlineStr">
        <is>
          <t>Members in 3 EU plans + all US plans</t>
        </is>
      </c>
      <c r="H5" s="14" t="n">
        <v>4</v>
      </c>
      <c r="I5" s="14" t="n">
        <v>5</v>
      </c>
      <c r="J5" s="14">
        <f>H5*I5</f>
        <v/>
      </c>
      <c r="K5" s="14">
        <f>IF(J5&gt;=15,"Critical",IF(J5&gt;=10,"High",IF(J5&gt;=5,"Medium","Low")))</f>
        <v/>
      </c>
      <c r="L5" s="14" t="inlineStr">
        <is>
          <t>No fairness testing performed; adjuster confirms each recommendation but override rate is 3%, indicating automation bias.</t>
        </is>
      </c>
      <c r="M5" s="14" t="n">
        <v>3</v>
      </c>
      <c r="N5" s="14" t="n">
        <v>5</v>
      </c>
      <c r="O5" s="14">
        <f>M5*N5</f>
        <v/>
      </c>
      <c r="P5" s="14">
        <f>IF(O5&gt;=15,"Critical",IF(O5&gt;=10,"High",IF(O5&gt;=5,"Medium","Low")))</f>
        <v/>
      </c>
      <c r="Q5" s="14" t="inlineStr">
        <is>
          <t>Mitigate</t>
        </is>
      </c>
      <c r="R5" s="14" t="inlineStr">
        <is>
          <t>Commission disparate-impact analysis across protected classes; establish fairness metrics and thresholds; retrain or reweight if thresholds breached; document per EU AI Act Art. 10 data governance.</t>
        </is>
      </c>
      <c r="S5" s="14" t="inlineStr">
        <is>
          <t>Measure</t>
        </is>
      </c>
      <c r="T5" s="14" t="inlineStr">
        <is>
          <t>VP Claims Operations</t>
        </is>
      </c>
      <c r="U5" s="14" t="inlineStr">
        <is>
          <t>2026-09-23</t>
        </is>
      </c>
    </row>
    <row r="6" ht="46.25" customHeight="1" s="10">
      <c r="A6" s="14" t="inlineStr">
        <is>
          <t>AIR-002</t>
        </is>
      </c>
      <c r="B6" s="14" t="inlineStr">
        <is>
          <t>AI-001 ClaimDesk</t>
        </is>
      </c>
      <c r="C6" s="14" t="inlineStr">
        <is>
          <t>Accountable &amp; Transparent</t>
        </is>
      </c>
      <c r="D6" s="14" t="inlineStr">
        <is>
          <t>—</t>
        </is>
      </c>
      <c r="E6" s="14" t="inlineStr">
        <is>
          <t>No documented explanation for individual recommendations; members denied benefits cannot receive a meaningful reason beyond the adjuster's note.</t>
        </is>
      </c>
      <c r="F6" s="14" t="inlineStr">
        <is>
          <t>Rights; regulatory</t>
        </is>
      </c>
      <c r="G6" s="14" t="inlineStr">
        <is>
          <t>Members receiving adverse decisions</t>
        </is>
      </c>
      <c r="H6" s="14" t="n">
        <v>4</v>
      </c>
      <c r="I6" s="14" t="n">
        <v>4</v>
      </c>
      <c r="J6" s="14">
        <f>H6*I6</f>
        <v/>
      </c>
      <c r="K6" s="14">
        <f>IF(J6&gt;=15,"Critical",IF(J6&gt;=10,"High",IF(J6&gt;=5,"Medium","Low")))</f>
        <v/>
      </c>
      <c r="L6" s="14" t="inlineStr">
        <is>
          <t>Adjuster free-text rationale field (inconsistently completed).</t>
        </is>
      </c>
      <c r="M6" s="14" t="n">
        <v>3</v>
      </c>
      <c r="N6" s="14" t="n">
        <v>4</v>
      </c>
      <c r="O6" s="14">
        <f>M6*N6</f>
        <v/>
      </c>
      <c r="P6" s="14">
        <f>IF(O6&gt;=15,"Critical",IF(O6&gt;=10,"High",IF(O6&gt;=5,"Medium","Low")))</f>
        <v/>
      </c>
      <c r="Q6" s="14" t="inlineStr">
        <is>
          <t>Mitigate</t>
        </is>
      </c>
      <c r="R6" s="14" t="inlineStr">
        <is>
          <t>Implement per-decision feature attribution (SHAP or equivalent) surfaced to adjuster; require structured rationale; align to adverse-action notice requirements.</t>
        </is>
      </c>
      <c r="S6" s="14" t="inlineStr">
        <is>
          <t>Manage</t>
        </is>
      </c>
      <c r="T6" s="14" t="inlineStr">
        <is>
          <t>VP Claims Operations</t>
        </is>
      </c>
      <c r="U6" s="14" t="inlineStr">
        <is>
          <t>2026-10-21</t>
        </is>
      </c>
    </row>
    <row r="7" ht="35.05" customHeight="1" s="10">
      <c r="A7" s="14" t="inlineStr">
        <is>
          <t>AIR-003</t>
        </is>
      </c>
      <c r="B7" s="14" t="inlineStr">
        <is>
          <t>AI-001 ClaimDesk</t>
        </is>
      </c>
      <c r="C7" s="14" t="inlineStr">
        <is>
          <t>Valid &amp; Reliable</t>
        </is>
      </c>
      <c r="D7" s="14" t="inlineStr">
        <is>
          <t>—</t>
        </is>
      </c>
      <c r="E7" s="14" t="inlineStr">
        <is>
          <t>Model performance drift as plan rules and provider coding change; no monitoring of live accuracy versus training baseline.</t>
        </is>
      </c>
      <c r="F7" s="14" t="inlineStr">
        <is>
          <t>Financial; member harm</t>
        </is>
      </c>
      <c r="G7" s="14" t="inlineStr">
        <is>
          <t>All adjudicated claims</t>
        </is>
      </c>
      <c r="H7" s="14" t="n">
        <v>3</v>
      </c>
      <c r="I7" s="14" t="n">
        <v>4</v>
      </c>
      <c r="J7" s="14">
        <f>H7*I7</f>
        <v/>
      </c>
      <c r="K7" s="14">
        <f>IF(J7&gt;=15,"Critical",IF(J7&gt;=10,"High",IF(J7&gt;=5,"Medium","Low")))</f>
        <v/>
      </c>
      <c r="L7" s="14" t="inlineStr">
        <is>
          <t>Annual retraining; no in-production monitoring.</t>
        </is>
      </c>
      <c r="M7" s="14" t="n">
        <v>2</v>
      </c>
      <c r="N7" s="14" t="n">
        <v>4</v>
      </c>
      <c r="O7" s="14">
        <f>M7*N7</f>
        <v/>
      </c>
      <c r="P7" s="14">
        <f>IF(O7&gt;=15,"Critical",IF(O7&gt;=10,"High",IF(O7&gt;=5,"Medium","Low")))</f>
        <v/>
      </c>
      <c r="Q7" s="14" t="inlineStr">
        <is>
          <t>Mitigate</t>
        </is>
      </c>
      <c r="R7" s="14" t="inlineStr">
        <is>
          <t>Deploy drift monitoring on input distributions and outcome rates; define retraining triggers; monthly performance report to model owner.</t>
        </is>
      </c>
      <c r="S7" s="14" t="inlineStr">
        <is>
          <t>Measure</t>
        </is>
      </c>
      <c r="T7" s="14" t="inlineStr">
        <is>
          <t>Head of Data Science</t>
        </is>
      </c>
      <c r="U7" s="14" t="inlineStr">
        <is>
          <t>2026-09-21</t>
        </is>
      </c>
    </row>
    <row r="8" ht="79.84999999999999" customHeight="1" s="10">
      <c r="A8" s="14" t="inlineStr">
        <is>
          <t>AIR-004</t>
        </is>
      </c>
      <c r="B8" s="14" t="inlineStr">
        <is>
          <t>AI-001 ClaimDesk</t>
        </is>
      </c>
      <c r="C8" s="14" t="inlineStr">
        <is>
          <t>Accountable &amp; Transparent</t>
        </is>
      </c>
      <c r="D8" s="14" t="inlineStr">
        <is>
          <t>—</t>
        </is>
      </c>
      <c r="E8" s="14" t="inlineStr">
        <is>
          <t>If ClaimDesk is High-Risk under Annex III, it operates for 3 EU client plans without conformity assessment, technical documentation, or database registration. Classification is contested: Annex III(5)(a) covers systems used by or on behalf of public authorities for essential public assistance benefits and (5)(c) covers insurance risk/pricing — neither cleanly covers private claims adjudication.</t>
        </is>
      </c>
      <c r="F8" s="14" t="inlineStr">
        <is>
          <t>Regulatory (EU AI Act); contractual</t>
        </is>
      </c>
      <c r="G8" s="14" t="inlineStr">
        <is>
          <t>Rockledge; EU clients</t>
        </is>
      </c>
      <c r="H8" s="14" t="n">
        <v>4</v>
      </c>
      <c r="I8" s="14" t="n">
        <v>5</v>
      </c>
      <c r="J8" s="14">
        <f>H8*I8</f>
        <v/>
      </c>
      <c r="K8" s="14">
        <f>IF(J8&gt;=15,"Critical",IF(J8&gt;=10,"High",IF(J8&gt;=5,"Medium","Low")))</f>
        <v/>
      </c>
      <c r="L8" s="14" t="inlineStr">
        <is>
          <t>None specific to AI Act. Digital Omnibus (Reg. 2026/1744, in force 27 Jul 2026) moved the Annex III deadline to 2 Dec 2027, creating runway that did not exist a month ago.</t>
        </is>
      </c>
      <c r="M8" s="14" t="n">
        <v>4</v>
      </c>
      <c r="N8" s="14" t="n">
        <v>5</v>
      </c>
      <c r="O8" s="14">
        <f>M8*N8</f>
        <v/>
      </c>
      <c r="P8" s="14">
        <f>IF(O8&gt;=15,"Critical",IF(O8&gt;=10,"High",IF(O8&gt;=5,"Medium","Low")))</f>
        <v/>
      </c>
      <c r="Q8" s="14" t="inlineStr">
        <is>
          <t>Mitigate</t>
        </is>
      </c>
      <c r="R8" s="14" t="inlineStr">
        <is>
          <t>Obtain written counsel determination on Annex III applicability by 23 Sep 2026 — this is the gating question. Proceed with fairness and explainability work regardless, since it is required on its merits. See Decision Memo for both classification outcomes.</t>
        </is>
      </c>
      <c r="S8" s="14" t="inlineStr">
        <is>
          <t>Govern</t>
        </is>
      </c>
      <c r="T8" s="14" t="inlineStr">
        <is>
          <t>General Counsel + VP Claims</t>
        </is>
      </c>
      <c r="U8" s="14" t="inlineStr">
        <is>
          <t>2026-09-23 (counsel determination)</t>
        </is>
      </c>
    </row>
    <row r="9" ht="57.45" customHeight="1" s="10">
      <c r="A9" s="14" t="inlineStr">
        <is>
          <t>AIR-005</t>
        </is>
      </c>
      <c r="B9" s="14" t="inlineStr">
        <is>
          <t>AI-004 Resume Screener</t>
        </is>
      </c>
      <c r="C9" s="14" t="inlineStr">
        <is>
          <t>Fair — with harmful bias managed</t>
        </is>
      </c>
      <c r="D9" s="14" t="inlineStr">
        <is>
          <t>—</t>
        </is>
      </c>
      <c r="E9" s="14" t="inlineStr">
        <is>
          <t>Third-party ranking model with undisclosed training data; vendor declines to provide bias audit results; Dublin recruiting creates EU high-risk exposure and NYC roles trigger Local Law 144.</t>
        </is>
      </c>
      <c r="F9" s="14" t="inlineStr">
        <is>
          <t>Discriminatory outcome; regulatory</t>
        </is>
      </c>
      <c r="G9" s="14" t="inlineStr">
        <is>
          <t>Job applicants</t>
        </is>
      </c>
      <c r="H9" s="14" t="n">
        <v>4</v>
      </c>
      <c r="I9" s="14" t="n">
        <v>5</v>
      </c>
      <c r="J9" s="14">
        <f>H9*I9</f>
        <v/>
      </c>
      <c r="K9" s="14">
        <f>IF(J9&gt;=15,"Critical",IF(J9&gt;=10,"High",IF(J9&gt;=5,"Medium","Low")))</f>
        <v/>
      </c>
      <c r="L9" s="14" t="inlineStr">
        <is>
          <t>Recruiter reviews top 20 only — candidates ranked 21+ never seen by a human.</t>
        </is>
      </c>
      <c r="M9" s="14" t="n">
        <v>4</v>
      </c>
      <c r="N9" s="14" t="n">
        <v>5</v>
      </c>
      <c r="O9" s="14">
        <f>M9*N9</f>
        <v/>
      </c>
      <c r="P9" s="14">
        <f>IF(O9&gt;=15,"Critical",IF(O9&gt;=10,"High",IF(O9&gt;=5,"Medium","Low")))</f>
        <v/>
      </c>
      <c r="Q9" s="14" t="inlineStr">
        <is>
          <t>Mitigate (pause)</t>
        </is>
      </c>
      <c r="R9" s="14" t="inlineStr">
        <is>
          <t>Pause pilot. Require vendor bias audit report and Art. 13 transparency documentation as condition of resumption. If unavailable, terminate. Independent NYC LL144 audit if resumed for NYC roles.</t>
        </is>
      </c>
      <c r="S9" s="14" t="inlineStr">
        <is>
          <t>Govern</t>
        </is>
      </c>
      <c r="T9" s="14" t="inlineStr">
        <is>
          <t>VP People</t>
        </is>
      </c>
      <c r="U9" s="14" t="inlineStr">
        <is>
          <t>2026-08-21</t>
        </is>
      </c>
    </row>
    <row r="10" ht="57.45" customHeight="1" s="10">
      <c r="A10" s="14" t="inlineStr">
        <is>
          <t>AIR-006</t>
        </is>
      </c>
      <c r="B10" s="14" t="inlineStr">
        <is>
          <t>AI-002 Chatbot</t>
        </is>
      </c>
      <c r="C10" s="14" t="inlineStr">
        <is>
          <t>Valid &amp; Reliable</t>
        </is>
      </c>
      <c r="D10" s="14" t="inlineStr">
        <is>
          <t>Confabulation</t>
        </is>
      </c>
      <c r="E10" s="14" t="inlineStr">
        <is>
          <t>LLM generates confident but incorrect coverage answers; member acts on wrong deductible or network information.</t>
        </is>
      </c>
      <c r="F10" s="14" t="inlineStr">
        <is>
          <t>Financial harm to member; reputational</t>
        </is>
      </c>
      <c r="G10" s="14" t="inlineStr">
        <is>
          <t>Members using chatbot</t>
        </is>
      </c>
      <c r="H10" s="14" t="n">
        <v>4</v>
      </c>
      <c r="I10" s="14" t="n">
        <v>3</v>
      </c>
      <c r="J10" s="14">
        <f>H10*I10</f>
        <v/>
      </c>
      <c r="K10" s="14">
        <f>IF(J10&gt;=15,"Critical",IF(J10&gt;=10,"High",IF(J10&gt;=5,"Medium","Low")))</f>
        <v/>
      </c>
      <c r="L10" s="14" t="inlineStr">
        <is>
          <t>RAG grounding on plan docs; no output verification; escalation button.</t>
        </is>
      </c>
      <c r="M10" s="14" t="n">
        <v>3</v>
      </c>
      <c r="N10" s="14" t="n">
        <v>3</v>
      </c>
      <c r="O10" s="14">
        <f>M10*N10</f>
        <v/>
      </c>
      <c r="P10" s="14">
        <f>IF(O10&gt;=15,"Critical",IF(O10&gt;=10,"High",IF(O10&gt;=5,"Medium","Low")))</f>
        <v/>
      </c>
      <c r="Q10" s="14" t="inlineStr">
        <is>
          <t>Mitigate</t>
        </is>
      </c>
      <c r="R10" s="14" t="inlineStr">
        <is>
          <t>Implement grounded-citation requirement (answer must cite plan document section); confabulation test suite run on release; weekly sample audit of coverage answers; auto-escalate on low-confidence.</t>
        </is>
      </c>
      <c r="S10" s="14" t="inlineStr">
        <is>
          <t>Measure</t>
        </is>
      </c>
      <c r="T10" s="14" t="inlineStr">
        <is>
          <t>Director of Member Services</t>
        </is>
      </c>
      <c r="U10" s="14" t="inlineStr">
        <is>
          <t>2026-09-23</t>
        </is>
      </c>
    </row>
    <row r="11" ht="68.65000000000001" customHeight="1" s="10">
      <c r="A11" s="14" t="inlineStr">
        <is>
          <t>AIR-007</t>
        </is>
      </c>
      <c r="B11" s="14" t="inlineStr">
        <is>
          <t>AI-002 Chatbot</t>
        </is>
      </c>
      <c r="C11" s="14" t="inlineStr">
        <is>
          <t>Accountable &amp; Transparent</t>
        </is>
      </c>
      <c r="D11" s="14" t="inlineStr">
        <is>
          <t>Human-AI Configuration</t>
        </is>
      </c>
      <c r="E11" s="14" t="inlineStr">
        <is>
          <t>Members not clearly informed they are interacting with AI. Art. 50 transparency duties were expressly NOT deferred by the Digital Omnibus and applied from 2 Aug 2026 — this obligation is live now, unlike the Annex III high-risk duties.</t>
        </is>
      </c>
      <c r="F11" s="14" t="inlineStr">
        <is>
          <t>Regulatory (AI Act Art. 50 transparency); trust</t>
        </is>
      </c>
      <c r="G11" s="14" t="inlineStr">
        <is>
          <t>Members using chatbot</t>
        </is>
      </c>
      <c r="H11" s="14" t="n">
        <v>5</v>
      </c>
      <c r="I11" s="14" t="n">
        <v>2</v>
      </c>
      <c r="J11" s="14">
        <f>H11*I11</f>
        <v/>
      </c>
      <c r="K11" s="14">
        <f>IF(J11&gt;=15,"Critical",IF(J11&gt;=10,"High",IF(J11&gt;=5,"Medium","Low")))</f>
        <v/>
      </c>
      <c r="L11" s="14" t="inlineStr">
        <is>
          <t>Small footer text.</t>
        </is>
      </c>
      <c r="M11" s="14" t="n">
        <v>2</v>
      </c>
      <c r="N11" s="14" t="n">
        <v>2</v>
      </c>
      <c r="O11" s="14">
        <f>M11*N11</f>
        <v/>
      </c>
      <c r="P11" s="14">
        <f>IF(O11&gt;=15,"Critical",IF(O11&gt;=10,"High",IF(O11&gt;=5,"Medium","Low")))</f>
        <v/>
      </c>
      <c r="Q11" s="14" t="inlineStr">
        <is>
          <t>Mitigate</t>
        </is>
      </c>
      <c r="R11" s="14" t="inlineStr">
        <is>
          <t>Prominent disclosure at session start; persistent AI indicator; easy path to human. Lowest effort item in the register and the only one already past its legal deadline. Do this first.</t>
        </is>
      </c>
      <c r="S11" s="14" t="inlineStr">
        <is>
          <t>Manage</t>
        </is>
      </c>
      <c r="T11" s="14" t="inlineStr">
        <is>
          <t>Director of Member Services</t>
        </is>
      </c>
      <c r="U11" s="14" t="inlineStr">
        <is>
          <t>2026-08-21 (Art. 50 duty already applied 2026-08-02)</t>
        </is>
      </c>
    </row>
    <row r="12" ht="46.25" customHeight="1" s="10">
      <c r="A12" s="14" t="inlineStr">
        <is>
          <t>AIR-008</t>
        </is>
      </c>
      <c r="B12" s="14" t="inlineStr">
        <is>
          <t>AI-002 Chatbot</t>
        </is>
      </c>
      <c r="C12" s="14" t="inlineStr">
        <is>
          <t>Secure &amp; Resilient</t>
        </is>
      </c>
      <c r="D12" s="14" t="inlineStr">
        <is>
          <t>Information Security</t>
        </is>
      </c>
      <c r="E12" s="14" t="inlineStr">
        <is>
          <t>Prompt injection via member-submitted text could extract system prompt or induce off-policy responses; RAG index includes documents with internal notes.</t>
        </is>
      </c>
      <c r="F12" s="14" t="inlineStr">
        <is>
          <t>Data exposure; abuse</t>
        </is>
      </c>
      <c r="G12" s="14" t="inlineStr">
        <is>
          <t>Rockledge; members</t>
        </is>
      </c>
      <c r="H12" s="14" t="n">
        <v>3</v>
      </c>
      <c r="I12" s="14" t="n">
        <v>4</v>
      </c>
      <c r="J12" s="14">
        <f>H12*I12</f>
        <v/>
      </c>
      <c r="K12" s="14">
        <f>IF(J12&gt;=15,"Critical",IF(J12&gt;=10,"High",IF(J12&gt;=5,"Medium","Low")))</f>
        <v/>
      </c>
      <c r="L12" s="14" t="inlineStr">
        <is>
          <t>Azure content filters (default).</t>
        </is>
      </c>
      <c r="M12" s="14" t="n">
        <v>2</v>
      </c>
      <c r="N12" s="14" t="n">
        <v>3</v>
      </c>
      <c r="O12" s="14">
        <f>M12*N12</f>
        <v/>
      </c>
      <c r="P12" s="14">
        <f>IF(O12&gt;=15,"Critical",IF(O12&gt;=10,"High",IF(O12&gt;=5,"Medium","Low")))</f>
        <v/>
      </c>
      <c r="Q12" s="14" t="inlineStr">
        <is>
          <t>Mitigate</t>
        </is>
      </c>
      <c r="R12" s="14" t="inlineStr">
        <is>
          <t>Red-team with OWASP LLM Top 10 test cases; scrub RAG index to member-facing documents only; input/output filtering; log and alert on injection signatures.</t>
        </is>
      </c>
      <c r="S12" s="14" t="inlineStr">
        <is>
          <t>Measure</t>
        </is>
      </c>
      <c r="T12" s="14" t="inlineStr">
        <is>
          <t>CISO</t>
        </is>
      </c>
      <c r="U12" s="14" t="inlineStr">
        <is>
          <t>2026-09-23</t>
        </is>
      </c>
    </row>
    <row r="13" ht="46.25" customHeight="1" s="10">
      <c r="A13" s="14" t="inlineStr">
        <is>
          <t>AIR-009</t>
        </is>
      </c>
      <c r="B13" s="14" t="inlineStr">
        <is>
          <t>AI-007 M365 Copilot</t>
        </is>
      </c>
      <c r="C13" s="14" t="inlineStr">
        <is>
          <t>Privacy-Enhanced</t>
        </is>
      </c>
      <c r="D13" s="14" t="inlineStr">
        <is>
          <t>Data Privacy</t>
        </is>
      </c>
      <c r="E13" s="14" t="inlineStr">
        <is>
          <t>Copilot indexes SharePoint libraries containing PHI; users can surface member records they lack a need to know via natural-language query.</t>
        </is>
      </c>
      <c r="F13" s="14" t="inlineStr">
        <is>
          <t>Privacy breach (HIPAA); regulatory</t>
        </is>
      </c>
      <c r="G13" s="14" t="inlineStr">
        <is>
          <t>Members; Rockledge</t>
        </is>
      </c>
      <c r="H13" s="14" t="n">
        <v>4</v>
      </c>
      <c r="I13" s="14" t="n">
        <v>5</v>
      </c>
      <c r="J13" s="14">
        <f>H13*I13</f>
        <v/>
      </c>
      <c r="K13" s="14">
        <f>IF(J13&gt;=15,"Critical",IF(J13&gt;=10,"High",IF(J13&gt;=5,"Medium","Low")))</f>
        <v/>
      </c>
      <c r="L13" s="14" t="inlineStr">
        <is>
          <t>SharePoint permissions (over-broad in legacy sites).</t>
        </is>
      </c>
      <c r="M13" s="14" t="n">
        <v>2</v>
      </c>
      <c r="N13" s="14" t="n">
        <v>4</v>
      </c>
      <c r="O13" s="14">
        <f>M13*N13</f>
        <v/>
      </c>
      <c r="P13" s="14">
        <f>IF(O13&gt;=15,"Critical",IF(O13&gt;=10,"High",IF(O13&gt;=5,"Medium","Low")))</f>
        <v/>
      </c>
      <c r="Q13" s="14" t="inlineStr">
        <is>
          <t>Mitigate</t>
        </is>
      </c>
      <c r="R13" s="14" t="inlineStr">
        <is>
          <t>Restrict Copilot semantic index from PHI-classified sites; sensitivity labels + DLP for AI-generated content; access recertification on legacy libraries first.</t>
        </is>
      </c>
      <c r="S13" s="14" t="inlineStr">
        <is>
          <t>Manage</t>
        </is>
      </c>
      <c r="T13" s="14" t="inlineStr">
        <is>
          <t>CIO</t>
        </is>
      </c>
      <c r="U13" s="14" t="inlineStr">
        <is>
          <t>2026-09-21</t>
        </is>
      </c>
    </row>
    <row r="14" ht="57.45" customHeight="1" s="10">
      <c r="A14" s="14" t="inlineStr">
        <is>
          <t>AIR-010</t>
        </is>
      </c>
      <c r="B14" s="14" t="inlineStr">
        <is>
          <t>AI-009 Shadow AI</t>
        </is>
      </c>
      <c r="C14" s="14" t="inlineStr">
        <is>
          <t>Privacy-Enhanced</t>
        </is>
      </c>
      <c r="D14" s="14" t="inlineStr">
        <is>
          <t>Data Privacy</t>
        </is>
      </c>
      <c r="E14" s="14" t="inlineStr">
        <is>
          <t>Staff pasting member data into consumer AI tools; no contractual protection, potential training-data ingestion.</t>
        </is>
      </c>
      <c r="F14" s="14" t="inlineStr">
        <is>
          <t>Privacy breach; regulatory</t>
        </is>
      </c>
      <c r="G14" s="14" t="inlineStr">
        <is>
          <t>Members</t>
        </is>
      </c>
      <c r="H14" s="14" t="n">
        <v>5</v>
      </c>
      <c r="I14" s="14" t="n">
        <v>4</v>
      </c>
      <c r="J14" s="14">
        <f>H14*I14</f>
        <v/>
      </c>
      <c r="K14" s="14">
        <f>IF(J14&gt;=15,"Critical",IF(J14&gt;=10,"High",IF(J14&gt;=5,"Medium","Low")))</f>
        <v/>
      </c>
      <c r="L14" s="14" t="inlineStr">
        <is>
          <t>None.</t>
        </is>
      </c>
      <c r="M14" s="14" t="n">
        <v>2</v>
      </c>
      <c r="N14" s="14" t="n">
        <v>3</v>
      </c>
      <c r="O14" s="14">
        <f>M14*N14</f>
        <v/>
      </c>
      <c r="P14" s="14">
        <f>IF(O14&gt;=15,"Critical",IF(O14&gt;=10,"High",IF(O14&gt;=5,"Medium","Low")))</f>
        <v/>
      </c>
      <c r="Q14" s="14" t="inlineStr">
        <is>
          <t>Mitigate</t>
        </is>
      </c>
      <c r="R14" s="14" t="inlineStr">
        <is>
          <t>AI acceptable use policy; CASB block on consumer AI endpoints; sanctioned enterprise alternative (AI-007) with data protections; awareness campaign; monitor CASB for residual usage.</t>
        </is>
      </c>
      <c r="S14" s="14" t="inlineStr">
        <is>
          <t>Govern</t>
        </is>
      </c>
      <c r="T14" s="14" t="inlineStr">
        <is>
          <t>CISO</t>
        </is>
      </c>
      <c r="U14" s="14" t="inlineStr">
        <is>
          <t>2026-08-25</t>
        </is>
      </c>
    </row>
    <row r="15" ht="57.45" customHeight="1" s="10">
      <c r="A15" s="14" t="inlineStr">
        <is>
          <t>AIR-011</t>
        </is>
      </c>
      <c r="B15" s="14" t="inlineStr">
        <is>
          <t>AI-003 Fraud Detector</t>
        </is>
      </c>
      <c r="C15" s="14" t="inlineStr">
        <is>
          <t>Explainable &amp; Interpretable</t>
        </is>
      </c>
      <c r="D15" s="14" t="inlineStr">
        <is>
          <t>—</t>
        </is>
      </c>
      <c r="E15" s="14" t="inlineStr">
        <is>
          <t>Vendor model flags claims with no reason code; SIU cannot explain to providers why payment was delayed; risk of unfair provider treatment.</t>
        </is>
      </c>
      <c r="F15" s="14" t="inlineStr">
        <is>
          <t>Provider relations; potential regulatory</t>
        </is>
      </c>
      <c r="G15" s="14" t="inlineStr">
        <is>
          <t>Providers; members with delayed claims</t>
        </is>
      </c>
      <c r="H15" s="14" t="n">
        <v>3</v>
      </c>
      <c r="I15" s="14" t="n">
        <v>3</v>
      </c>
      <c r="J15" s="14">
        <f>H15*I15</f>
        <v/>
      </c>
      <c r="K15" s="14">
        <f>IF(J15&gt;=15,"Critical",IF(J15&gt;=10,"High",IF(J15&gt;=5,"Medium","Low")))</f>
        <v/>
      </c>
      <c r="L15" s="14" t="inlineStr">
        <is>
          <t>SIU reviews every flag before action.</t>
        </is>
      </c>
      <c r="M15" s="14" t="n">
        <v>2</v>
      </c>
      <c r="N15" s="14" t="n">
        <v>3</v>
      </c>
      <c r="O15" s="14">
        <f>M15*N15</f>
        <v/>
      </c>
      <c r="P15" s="14">
        <f>IF(O15&gt;=15,"Critical",IF(O15&gt;=10,"High",IF(O15&gt;=5,"Medium","Low")))</f>
        <v/>
      </c>
      <c r="Q15" s="14" t="inlineStr">
        <is>
          <t>Accept (with monitoring)</t>
        </is>
      </c>
      <c r="R15" s="14" t="inlineStr">
        <is>
          <t>Request reason-code feature from vendor at renewal; track flag-to-confirmed-fraud rate by provider type quarterly to detect systematic skew. Human review already prevents automated adverse action.</t>
        </is>
      </c>
      <c r="S15" s="14" t="inlineStr">
        <is>
          <t>Measure</t>
        </is>
      </c>
      <c r="T15" s="14" t="inlineStr">
        <is>
          <t>Director of SIU</t>
        </is>
      </c>
      <c r="U15" s="14" t="inlineStr">
        <is>
          <t>2026-12-22</t>
        </is>
      </c>
    </row>
    <row r="16" ht="68.65000000000001" customHeight="1" s="10">
      <c r="A16" s="14" t="inlineStr">
        <is>
          <t>AIR-012</t>
        </is>
      </c>
      <c r="B16" s="14" t="inlineStr">
        <is>
          <t>Program-wide</t>
        </is>
      </c>
      <c r="C16" s="14" t="inlineStr">
        <is>
          <t>Accountable &amp; Transparent</t>
        </is>
      </c>
      <c r="D16" s="14" t="inlineStr">
        <is>
          <t>—</t>
        </is>
      </c>
      <c r="E16" s="14" t="inlineStr">
        <is>
          <t>No AI governance function, policy, or accountable executive; decisions about AI use made ad hoc by business units.</t>
        </is>
      </c>
      <c r="F16" s="14" t="inlineStr">
        <is>
          <t>Organizational; all AI risks compound</t>
        </is>
      </c>
      <c r="G16" s="14" t="inlineStr">
        <is>
          <t>Rockledge</t>
        </is>
      </c>
      <c r="H16" s="14" t="n">
        <v>5</v>
      </c>
      <c r="I16" s="14" t="n">
        <v>4</v>
      </c>
      <c r="J16" s="14">
        <f>H16*I16</f>
        <v/>
      </c>
      <c r="K16" s="14">
        <f>IF(J16&gt;=15,"Critical",IF(J16&gt;=10,"High",IF(J16&gt;=5,"Medium","Low")))</f>
        <v/>
      </c>
      <c r="L16" s="14" t="inlineStr">
        <is>
          <t>None.</t>
        </is>
      </c>
      <c r="M16" s="14" t="n">
        <v>2</v>
      </c>
      <c r="N16" s="14" t="n">
        <v>3</v>
      </c>
      <c r="O16" s="14">
        <f>M16*N16</f>
        <v/>
      </c>
      <c r="P16" s="14">
        <f>IF(O16&gt;=15,"Critical",IF(O16&gt;=10,"High",IF(O16&gt;=5,"Medium","Low")))</f>
        <v/>
      </c>
      <c r="Q16" s="14" t="inlineStr">
        <is>
          <t>Mitigate</t>
        </is>
      </c>
      <c r="R16" s="14" t="inlineStr">
        <is>
          <t>Establish AI Governance Committee (chair: General Counsel; members: CISO, CIO, Chief Actuary, VP People, Compliance); adopt AI policy; assign system owners; quarterly review cadence. Foundation for ISO/IEC 42001 alignment.</t>
        </is>
      </c>
      <c r="S16" s="14" t="inlineStr">
        <is>
          <t>Govern</t>
        </is>
      </c>
      <c r="T16" s="14" t="inlineStr">
        <is>
          <t>General Counsel</t>
        </is>
      </c>
      <c r="U16" s="14" t="inlineStr">
        <is>
          <t>2026-08-25</t>
        </is>
      </c>
    </row>
    <row r="17" ht="68.65000000000001" customHeight="1" s="10">
      <c r="A17" s="14" t="inlineStr">
        <is>
          <t>AIR-013</t>
        </is>
      </c>
      <c r="B17" s="14" t="inlineStr">
        <is>
          <t>AI-008 Actuarial Forecast</t>
        </is>
      </c>
      <c r="C17" s="14" t="inlineStr">
        <is>
          <t>Valid &amp; Reliable</t>
        </is>
      </c>
      <c r="D17" s="14" t="inlineStr">
        <is>
          <t>—</t>
        </is>
      </c>
      <c r="E17" s="14" t="inlineStr">
        <is>
          <t>The aggregate claims-cost model could be reused to price or assess individual members without anyone reassessing it. Applied that way it would fall under Annex III(5)(c), and its validation covers aggregate projections only.</t>
        </is>
      </c>
      <c r="F17" s="14" t="inlineStr">
        <is>
          <t>Regulatory (EU AI Act); member pricing harm</t>
        </is>
      </c>
      <c r="G17" s="14" t="inlineStr">
        <is>
          <t>Members, if scope changes</t>
        </is>
      </c>
      <c r="H17" s="14" t="n">
        <v>2</v>
      </c>
      <c r="I17" s="14" t="n">
        <v>4</v>
      </c>
      <c r="J17" s="14">
        <f>H17*I17</f>
        <v/>
      </c>
      <c r="K17" s="14">
        <f>IF(J17&gt;=15,"Critical",IF(J17&gt;=10,"High",IF(J17&gt;=5,"Medium","Low")))</f>
        <v/>
      </c>
      <c r="L17" s="14" t="inlineStr">
        <is>
          <t>Annual model validation; Chief Actuary review of outputs.</t>
        </is>
      </c>
      <c r="M17" s="14" t="n">
        <v>1</v>
      </c>
      <c r="N17" s="14" t="n">
        <v>4</v>
      </c>
      <c r="O17" s="14">
        <f>M17*N17</f>
        <v/>
      </c>
      <c r="P17" s="14">
        <f>IF(O17&gt;=15,"Critical",IF(O17&gt;=10,"High",IF(O17&gt;=5,"Medium","Low")))</f>
        <v/>
      </c>
      <c r="Q17" s="14" t="inlineStr">
        <is>
          <t>Mitigate</t>
        </is>
      </c>
      <c r="R17" s="14" t="inlineStr">
        <is>
          <t>Add a scope-change gate: any proposal to use AI-008 at the individual level triggers an AI risk reassessment and a counsel classification before build work starts.</t>
        </is>
      </c>
      <c r="S17" s="14" t="inlineStr">
        <is>
          <t>Govern</t>
        </is>
      </c>
      <c r="T17" s="14" t="inlineStr">
        <is>
          <t>Chief Actuary</t>
        </is>
      </c>
      <c r="U17" s="14" t="inlineStr">
        <is>
          <t>2026-10-26</t>
        </is>
      </c>
    </row>
  </sheetData>
  <mergeCells count="2">
    <mergeCell ref="A1:U1"/>
    <mergeCell ref="A2:U2"/>
  </mergeCells>
  <conditionalFormatting sqref="K5:K17">
    <cfRule type="expression" rank="0" priority="2" equalAverage="0" aboveAverage="0" dxfId="0" text="" percent="0" bottom="0">
      <formula>EXACT(K5,"Critical")</formula>
    </cfRule>
    <cfRule type="expression" rank="0" priority="3" equalAverage="0" aboveAverage="0" dxfId="1" text="" percent="0" bottom="0">
      <formula>EXACT(K5,"High")</formula>
    </cfRule>
    <cfRule type="expression" rank="0" priority="4" equalAverage="0" aboveAverage="0" dxfId="2" text="" percent="0" bottom="0">
      <formula>EXACT(K5,"Medium")</formula>
    </cfRule>
    <cfRule type="expression" rank="0" priority="5" equalAverage="0" aboveAverage="0" dxfId="3" text="" percent="0" bottom="0">
      <formula>EXACT(K5,"Low")</formula>
    </cfRule>
  </conditionalFormatting>
  <conditionalFormatting sqref="P5:P17">
    <cfRule type="expression" rank="0" priority="6" equalAverage="0" aboveAverage="0" dxfId="0" text="" percent="0" bottom="0">
      <formula>EXACT(P5,"Critical")</formula>
    </cfRule>
    <cfRule type="expression" rank="0" priority="7" equalAverage="0" aboveAverage="0" dxfId="1" text="" percent="0" bottom="0">
      <formula>EXACT(P5,"High")</formula>
    </cfRule>
    <cfRule type="expression" rank="0" priority="8" equalAverage="0" aboveAverage="0" dxfId="2" text="" percent="0" bottom="0">
      <formula>EXACT(P5,"Medium")</formula>
    </cfRule>
    <cfRule type="expression" rank="0" priority="9" equalAverage="0" aboveAverage="0" dxfId="3" text="" percent="0" bottom="0">
      <formula>EXACT(P5,"Low")</formula>
    </cfRule>
  </conditionalFormatting>
  <dataValidations count="1">
    <dataValidation sqref="H5:I36 M5:N36" showDropDown="0" showInputMessage="0" showErrorMessage="0" allowBlank="1" type="whole" errorStyle="stop" operator="between">
      <formula1>1</formula1>
      <formula2>5</formula2>
    </dataValidation>
  </dataValidations>
  <printOptions horizontalCentered="0" verticalCentered="0" headings="0" gridLines="0" gridLinesSet="1"/>
  <pageMargins left="0.25" right="0.25" top="0.35" bottom="0.35" header="0.511811023622047" footer="0.511811023622047"/>
  <pageSetup orientation="landscape" paperSize="3"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9" min="1" max="1"/>
    <col width="10" customWidth="1" style="9" min="2" max="2"/>
    <col width="20" customWidth="1" style="9" min="3" max="3"/>
    <col width="60" customWidth="1" style="9" min="4" max="4"/>
  </cols>
  <sheetData>
    <row r="1" ht="19.7" customHeight="1" s="10">
      <c r="A1" s="11" t="inlineStr">
        <is>
          <t>COVERAGE BY NIST AI RMF TRUSTWORTHINESS CHARACTERISTIC</t>
        </is>
      </c>
    </row>
    <row r="2" ht="15" customHeight="1" s="10">
      <c r="A2" s="12" t="inlineStr">
        <is>
          <t>Which characteristics the register addresses, and how many risks each carries. Gaps in coverage are as informative as high counts.</t>
        </is>
      </c>
    </row>
    <row r="4" ht="23.85" customHeight="1" s="10">
      <c r="A4" s="13" t="inlineStr">
        <is>
          <t>Characteristic</t>
        </is>
      </c>
      <c r="B4" s="13" t="inlineStr">
        <is>
          <t># Risks</t>
        </is>
      </c>
      <c r="C4" s="13" t="inlineStr">
        <is>
          <t>Highest Residual Level</t>
        </is>
      </c>
      <c r="D4" s="13" t="inlineStr">
        <is>
          <t>Note</t>
        </is>
      </c>
    </row>
    <row r="5" ht="15" customHeight="1" s="10">
      <c r="A5" s="14" t="inlineStr">
        <is>
          <t>Valid &amp; Reliable</t>
        </is>
      </c>
      <c r="B5" s="14">
        <f>COUNTIF('AI Risk Register'!$C$5:$C$17,A5)</f>
        <v/>
      </c>
      <c r="C5" s="14">
        <f>IF(COUNTIFS('AI Risk Register'!$C$5:$C$17,A5,'AI Risk Register'!$P$5:$P$17,"Critical")&gt;0,"Critical",IF(COUNTIFS('AI Risk Register'!$C$5:$C$17,A5,'AI Risk Register'!$P$5:$P$17,"High")&gt;0,"High",IF(COUNTIFS('AI Risk Register'!$C$5:$C$17,A5,'AI Risk Register'!$P$5:$P$17,"Medium")&gt;0,"Medium",IF(B5=0,"—","Low"))))</f>
        <v/>
      </c>
      <c r="D5" s="14" t="inlineStr">
        <is>
          <t>Performance, accuracy, drift</t>
        </is>
      </c>
    </row>
    <row r="6" ht="15" customHeight="1" s="10">
      <c r="A6" s="14" t="inlineStr">
        <is>
          <t>Safe</t>
        </is>
      </c>
      <c r="B6" s="14">
        <f>COUNTIF('AI Risk Register'!$C$5:$C$17,A6)</f>
        <v/>
      </c>
      <c r="C6" s="14">
        <f>IF(COUNTIFS('AI Risk Register'!$C$5:$C$17,A6,'AI Risk Register'!$P$5:$P$17,"Critical")&gt;0,"Critical",IF(COUNTIFS('AI Risk Register'!$C$5:$C$17,A6,'AI Risk Register'!$P$5:$P$17,"High")&gt;0,"High",IF(COUNTIFS('AI Risk Register'!$C$5:$C$17,A6,'AI Risk Register'!$P$5:$P$17,"Medium")&gt;0,"Medium",IF(B6=0,"—","Low"))))</f>
        <v/>
      </c>
      <c r="D6" s="14" t="inlineStr">
        <is>
          <t>Physical/psychological safety — no direct exposure in this inventory</t>
        </is>
      </c>
    </row>
    <row r="7" ht="15" customHeight="1" s="10">
      <c r="A7" s="14" t="inlineStr">
        <is>
          <t>Secure &amp; Resilient</t>
        </is>
      </c>
      <c r="B7" s="14">
        <f>COUNTIF('AI Risk Register'!$C$5:$C$17,A7)</f>
        <v/>
      </c>
      <c r="C7" s="14">
        <f>IF(COUNTIFS('AI Risk Register'!$C$5:$C$17,A7,'AI Risk Register'!$P$5:$P$17,"Critical")&gt;0,"Critical",IF(COUNTIFS('AI Risk Register'!$C$5:$C$17,A7,'AI Risk Register'!$P$5:$P$17,"High")&gt;0,"High",IF(COUNTIFS('AI Risk Register'!$C$5:$C$17,A7,'AI Risk Register'!$P$5:$P$17,"Medium")&gt;0,"Medium",IF(B7=0,"—","Low"))))</f>
        <v/>
      </c>
      <c r="D7" s="14" t="inlineStr">
        <is>
          <t>Adversarial robustness, prompt injection</t>
        </is>
      </c>
    </row>
    <row r="8" ht="15" customHeight="1" s="10">
      <c r="A8" s="14" t="inlineStr">
        <is>
          <t>Accountable &amp; Transparent</t>
        </is>
      </c>
      <c r="B8" s="14">
        <f>COUNTIF('AI Risk Register'!$C$5:$C$17,A8)</f>
        <v/>
      </c>
      <c r="C8" s="14">
        <f>IF(COUNTIFS('AI Risk Register'!$C$5:$C$17,A8,'AI Risk Register'!$P$5:$P$17,"Critical")&gt;0,"Critical",IF(COUNTIFS('AI Risk Register'!$C$5:$C$17,A8,'AI Risk Register'!$P$5:$P$17,"High")&gt;0,"High",IF(COUNTIFS('AI Risk Register'!$C$5:$C$17,A8,'AI Risk Register'!$P$5:$P$17,"Medium")&gt;0,"Medium",IF(B8=0,"—","Low"))))</f>
        <v/>
      </c>
      <c r="D8" s="14" t="inlineStr">
        <is>
          <t>Documentation, disclosure, governance</t>
        </is>
      </c>
    </row>
    <row r="9" ht="15" customHeight="1" s="10">
      <c r="A9" s="14" t="inlineStr">
        <is>
          <t>Explainable &amp; Interpretable</t>
        </is>
      </c>
      <c r="B9" s="14">
        <f>COUNTIF('AI Risk Register'!$C$5:$C$17,A9)</f>
        <v/>
      </c>
      <c r="C9" s="14">
        <f>IF(COUNTIFS('AI Risk Register'!$C$5:$C$17,A9,'AI Risk Register'!$P$5:$P$17,"Critical")&gt;0,"Critical",IF(COUNTIFS('AI Risk Register'!$C$5:$C$17,A9,'AI Risk Register'!$P$5:$P$17,"High")&gt;0,"High",IF(COUNTIFS('AI Risk Register'!$C$5:$C$17,A9,'AI Risk Register'!$P$5:$P$17,"Medium")&gt;0,"Medium",IF(B9=0,"—","Low"))))</f>
        <v/>
      </c>
      <c r="D9" s="14" t="inlineStr">
        <is>
          <t>Reason codes, attribution</t>
        </is>
      </c>
    </row>
    <row r="10" ht="15" customHeight="1" s="10">
      <c r="A10" s="14" t="inlineStr">
        <is>
          <t>Privacy-Enhanced</t>
        </is>
      </c>
      <c r="B10" s="14">
        <f>COUNTIF('AI Risk Register'!$C$5:$C$17,A10)</f>
        <v/>
      </c>
      <c r="C10" s="14">
        <f>IF(COUNTIFS('AI Risk Register'!$C$5:$C$17,A10,'AI Risk Register'!$P$5:$P$17,"Critical")&gt;0,"Critical",IF(COUNTIFS('AI Risk Register'!$C$5:$C$17,A10,'AI Risk Register'!$P$5:$P$17,"High")&gt;0,"High",IF(COUNTIFS('AI Risk Register'!$C$5:$C$17,A10,'AI Risk Register'!$P$5:$P$17,"Medium")&gt;0,"Medium",IF(B10=0,"—","Low"))))</f>
        <v/>
      </c>
      <c r="D10" s="14" t="inlineStr">
        <is>
          <t>Data minimization, PHI exposure</t>
        </is>
      </c>
    </row>
    <row r="11" ht="15" customHeight="1" s="10">
      <c r="A11" s="14" t="inlineStr">
        <is>
          <t>Fair — with harmful bias managed</t>
        </is>
      </c>
      <c r="B11" s="14">
        <f>COUNTIF('AI Risk Register'!$C$5:$C$17,A11)</f>
        <v/>
      </c>
      <c r="C11" s="14">
        <f>IF(COUNTIFS('AI Risk Register'!$C$5:$C$17,A11,'AI Risk Register'!$P$5:$P$17,"Critical")&gt;0,"Critical",IF(COUNTIFS('AI Risk Register'!$C$5:$C$17,A11,'AI Risk Register'!$P$5:$P$17,"High")&gt;0,"High",IF(COUNTIFS('AI Risk Register'!$C$5:$C$17,A11,'AI Risk Register'!$P$5:$P$17,"Medium")&gt;0,"Medium",IF(B11=0,"—","Low"))))</f>
        <v/>
      </c>
      <c r="D11" s="14" t="inlineStr">
        <is>
          <t>Disparate impact</t>
        </is>
      </c>
    </row>
  </sheetData>
  <conditionalFormatting sqref="C5:C11">
    <cfRule type="expression" rank="0" priority="2" equalAverage="0" aboveAverage="0" dxfId="0" text="" percent="0" bottom="0">
      <formula>EXACT(C5,"Critical")</formula>
    </cfRule>
    <cfRule type="expression" rank="0" priority="3" equalAverage="0" aboveAverage="0" dxfId="1" text="" percent="0" bottom="0">
      <formula>EXACT(C5,"High")</formula>
    </cfRule>
    <cfRule type="expression" rank="0" priority="4" equalAverage="0" aboveAverage="0" dxfId="2" text="" percent="0" bottom="0">
      <formula>EXACT(C5,"Medium")</formula>
    </cfRule>
    <cfRule type="expression" rank="0" priority="5" equalAverage="0" aboveAverage="0" dxfId="3" text="" percent="0" bottom="0">
      <formula>EXACT(C5,"Low")</formula>
    </cfRule>
  </conditionalFormatting>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B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9" min="1" max="1"/>
    <col width="110" customWidth="1" style="9" min="2" max="2"/>
  </cols>
  <sheetData>
    <row r="1" ht="19.7" customHeight="1" s="10">
      <c r="A1" s="11" t="inlineStr">
        <is>
          <t>METHOD &amp; LIMITATIONS</t>
        </is>
      </c>
    </row>
    <row r="3" ht="35.05" customHeight="1" s="10">
      <c r="A3" s="15" t="inlineStr">
        <is>
          <t>Framework basis</t>
        </is>
      </c>
      <c r="B3" s="16" t="inlineStr">
        <is>
          <t>NIST AI RMF 1.0 organizes AI risk into four functions (Govern, Map, Measure, Manage) and seven trustworthiness characteristics. Each risk is tagged to the characteristic it threatens and the function that owns its treatment. Generative-AI risks additionally reference NIST AI 600-1's twelve GenAI risk categories (confabulation, data privacy, information security, human-AI configuration, etc.).</t>
        </is>
      </c>
    </row>
    <row r="4" ht="23.85" customHeight="1" s="10">
      <c r="A4" s="15" t="inlineStr">
        <is>
          <t>Why tag to characteristics</t>
        </is>
      </c>
      <c r="B4" s="16" t="inlineStr">
        <is>
          <t>It exposes coverage gaps. A register with eight fairness risks and zero security risks tells you the assessors' expertise, not the organization's exposure. The Trustworthiness Coverage tab is the check.</t>
        </is>
      </c>
    </row>
    <row r="5" ht="35.05" customHeight="1" s="10">
      <c r="A5" s="15" t="inlineStr">
        <is>
          <t>Scoring</t>
        </is>
      </c>
      <c r="B5" s="16" t="inlineStr">
        <is>
          <t>5x5 qualitative, likelihood × impact. Ordinal, not cardinal — same limitation as any risk matrix. Adequate for prioritizing thirteen risks; inadequate for comparing spend across them. Impact anchored to harm type: a discriminatory-outcome risk at 5 is a different kind of severe than a financial risk at 5.</t>
        </is>
      </c>
    </row>
    <row r="6" ht="46.25" customHeight="1" s="10">
      <c r="A6" s="15" t="inlineStr">
        <is>
          <t>What is different about AI risk</t>
        </is>
      </c>
      <c r="B6" s="16" t="inlineStr">
        <is>
          <t>Three things. (1) Harms are frequently to third parties — members, applicants — rather than to the organization, so the risk owner and the harmed party diverge. (2) Bias and drift are emergent: the system can be compliant at deployment and non-compliant six months later with no code change. (3) Human oversight is often nominal — a 3% override rate on AI-001 means the human is ratifying, not reviewing. Automation bias is itself a risk.</t>
        </is>
      </c>
    </row>
    <row r="7" ht="23.85" customHeight="1" s="10">
      <c r="A7" s="15" t="inlineStr">
        <is>
          <t>Relationship to the inventory</t>
        </is>
      </c>
      <c r="B7" s="16" t="inlineStr">
        <is>
          <t>Every risk maps to an AI ID in the AI System Inventory. AIR-012 (no governance function) is program-wide and is the root cause behind several system-specific risks.</t>
        </is>
      </c>
    </row>
    <row r="8" ht="23.85" customHeight="1" s="10">
      <c r="A8" s="15" t="inlineStr">
        <is>
          <t>Relationship to the decision memo</t>
        </is>
      </c>
      <c r="B8" s="16" t="inlineStr">
        <is>
          <t>AIR-004 and AIR-005 are the two risks that cannot be treated by controls alone — they require a business decision about whether to continue the use case. Those decisions are documented in the accompanying memo, not here.</t>
        </is>
      </c>
    </row>
    <row r="9" ht="46.25" customHeight="1" s="10">
      <c r="A9" s="15" t="inlineStr">
        <is>
          <t>Regulatory status as assessed</t>
        </is>
      </c>
      <c r="B9" s="16" t="inlineStr">
        <is>
          <t>The Digital Omnibus on AI (Regulation (EU) 2026/1744) was published in the Official Journal on 24 July 2026 and entered into force on 27 July 2026. It defers Annex III standalone high-risk obligations from 2 August 2026 to 2 December 2027, and Annex I embedded high-risk systems to 2 August 2028. It does NOT defer Article 50 transparency duties, the Article 5 prohibitions, or GPAI provider obligations. The deferral is therefore selective, and treating it as a blanket extension is the error to avoid.</t>
        </is>
      </c>
    </row>
    <row r="10" ht="35.05" customHeight="1" s="10">
      <c r="A10" s="15" t="inlineStr">
        <is>
          <t>Why the deferral does not reduce urgency here</t>
        </is>
      </c>
      <c r="B10" s="16" t="inlineStr">
        <is>
          <t>Two reasons. First, the one obligation that is live now — Art. 50 transparency, AIR-007 — is the one we had not met. Second, AIR-001 (encoded bias in denial recommendations) has no compliance date attached to it. The model either discriminates or it does not, and we currently cannot say which. Deadlines govern enforcement, not harm.</t>
        </is>
      </c>
    </row>
    <row r="11" ht="46.25" customHeight="1" s="10">
      <c r="A11" s="15" t="inlineStr">
        <is>
          <t>Contested classification</t>
        </is>
      </c>
      <c r="B11" s="16" t="inlineStr">
        <is>
          <t>AIR-004 turns on whether ClaimDesk falls within Annex III. It is not clearly enumerated: (5)(a) addresses systems used by or on behalf of public authorities to evaluate eligibility for essential public assistance benefits, and (5)(c) addresses risk assessment and pricing for life and health insurance. A private administrator adjudicating employer-sponsored benefit claims sits between them; the open question under (5)(a) is whether Rockledge acts on behalf of a public authority. The register treats it as high-risk pending counsel determination, which is the conservative posture, and the Decision Memo presents both outcomes.</t>
        </is>
      </c>
    </row>
    <row r="12" ht="15" customHeight="1" s="10">
      <c r="A12" s="15" t="inlineStr">
        <is>
          <t>Not legal advice</t>
        </is>
      </c>
      <c r="B12" s="16" t="inlineStr">
        <is>
          <t>EU AI Act tiering and obligations are stated for demonstration. Real applicability requires counsel.</t>
        </is>
      </c>
    </row>
  </sheetData>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dcterms="http://purl.org/dc/terms/" xmlns:xsi="http://www.w3.org/2001/XMLSchema-instance" xmlns:cp="http://schemas.openxmlformats.org/package/2006/metadata/core-properties">
  <dc:creator xmlns:dc="http://purl.org/dc/elements/1.1/">Chris Morrissey</dc:creator>
  <dc:language xmlns:dc="http://purl.org/dc/elements/1.1/">en-US</dc:language>
  <dcterms:created xsi:type="dcterms:W3CDTF">2026-07-22T13:45:00Z</dcterms:created>
  <dcterms:modified xsi:type="dcterms:W3CDTF">2026-08-05T21:02:00Z</dcterms:modified>
  <cp:revision>0</cp:revision>
  <cp:lastModifiedBy>Chris Morrissey</cp:lastModifiedBy>
</cp:coreProperties>
</file>