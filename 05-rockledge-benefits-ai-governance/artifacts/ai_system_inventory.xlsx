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I System Inven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assification Method" sheetId="3" state="visible" r:id="rId3"/>
  </sheets>
  <definedNames>
    <definedName name="_xlnm.Print_Area" localSheetId="0">'AI System Inventory'!$A$1:$U$13</definedName>
    <definedName name="_xlnm.Print_Area" localSheetId="1">'Summary'!$A$1:$B$19</definedName>
    <definedName name="_xlnm.Print_Area" localSheetId="2">'Classification Method'!$A$1:$B$9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6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b val="1"/>
      <sz val="10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E06666"/>
        </patternFill>
      </fill>
    </dxf>
    <dxf>
      <font>
        <name val="Arial"/>
        <charset val="1"/>
        <family val="0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0AD47"/>
        </patternFill>
      </fill>
    </dxf>
    <dxf>
      <font>
        <name val="Arial"/>
        <charset val="1"/>
        <family val="0"/>
        <color rgb="FF000000"/>
      </font>
      <fill>
        <patternFill>
          <bgColor rgb="FFB7B7B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80808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0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U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12" min="1" max="1"/>
    <col width="24" customWidth="1" style="12" min="2" max="2"/>
    <col width="20" customWidth="1" style="12" min="3" max="3"/>
    <col width="34" customWidth="1" style="12" min="4" max="4"/>
    <col width="13" customWidth="1" style="12" min="5" max="5"/>
    <col width="16" customWidth="1" style="12" min="6" max="6"/>
    <col width="22" customWidth="1" style="12" min="7" max="7"/>
    <col width="11" customWidth="1" style="12" min="8" max="8"/>
    <col width="30" customWidth="1" style="12" min="9" max="9"/>
    <col width="10" customWidth="1" style="12" min="10" max="10"/>
    <col width="16" customWidth="1" style="12" min="11" max="11"/>
    <col width="18" customWidth="1" style="12" min="12" max="12"/>
    <col width="10" customWidth="1" style="12" min="13" max="13"/>
    <col width="20" customWidth="1" style="12" min="14" max="14"/>
    <col width="16" customWidth="1" style="12" min="15" max="15"/>
    <col width="36" customWidth="1" style="12" min="16" max="16"/>
    <col width="22" customWidth="1" style="12" min="17" max="17"/>
    <col width="18" customWidth="1" style="12" min="18" max="18"/>
    <col width="10" customWidth="1" style="12" min="19" max="19"/>
    <col width="18" customWidth="1" style="12" min="20" max="20"/>
    <col width="32" customWidth="1" style="12" min="21" max="21"/>
  </cols>
  <sheetData>
    <row r="1" ht="19.7" customHeight="1" s="13">
      <c r="A1" s="14" t="inlineStr">
        <is>
          <t>ROCKLEDGE BENEFITS ADMINISTRATORS — AI SYSTEM INVENTORY &amp; RISK CLASSIFICATION</t>
        </is>
      </c>
    </row>
    <row r="2" ht="15" customHeight="1" s="13">
      <c r="A2" s="15" t="inlineStr">
        <is>
          <t>Framework basis: NIST AI RMF 1.0 (Map), EU AI Act as amended by Regulation (EU) 2026/1744 (Digital Omnibus on AI, in force 27 July 2026), ISO/IEC 42001 A.4 | Inventory date: 2026-07-29 | Fictional organization. Created for portfolio demonstration purposes.</t>
        </is>
      </c>
    </row>
    <row r="3"/>
    <row r="4" ht="23.85" customHeight="1" s="13">
      <c r="A4" s="16" t="inlineStr">
        <is>
          <t>AI ID</t>
        </is>
      </c>
      <c r="B4" s="16" t="inlineStr">
        <is>
          <t>System Name</t>
        </is>
      </c>
      <c r="C4" s="16" t="inlineStr">
        <is>
          <t>Business Owner</t>
        </is>
      </c>
      <c r="D4" s="16" t="inlineStr">
        <is>
          <t>Use Case</t>
        </is>
      </c>
      <c r="E4" s="16" t="inlineStr">
        <is>
          <t>Deployment Status</t>
        </is>
      </c>
      <c r="F4" s="16" t="inlineStr">
        <is>
          <t>AI Type</t>
        </is>
      </c>
      <c r="G4" s="16" t="inlineStr">
        <is>
          <t>Provider / Model</t>
        </is>
      </c>
      <c r="H4" s="16" t="inlineStr">
        <is>
          <t>Build vs Buy</t>
        </is>
      </c>
      <c r="I4" s="16" t="inlineStr">
        <is>
          <t>Data Inputs</t>
        </is>
      </c>
      <c r="J4" s="16" t="inlineStr">
        <is>
          <t>Personal Data?</t>
        </is>
      </c>
      <c r="K4" s="16" t="inlineStr">
        <is>
          <t>Decision Impact</t>
        </is>
      </c>
      <c r="L4" s="16" t="inlineStr">
        <is>
          <t>Human Oversight Mode</t>
        </is>
      </c>
      <c r="M4" s="16" t="inlineStr">
        <is>
          <t>EU Nexus?</t>
        </is>
      </c>
      <c r="N4" s="16" t="inlineStr">
        <is>
          <t>EU AI Act Tier (legal)</t>
        </is>
      </c>
      <c r="O4" s="16" t="inlineStr">
        <is>
          <t>Applicable Deadline</t>
        </is>
      </c>
      <c r="P4" s="16" t="inlineStr">
        <is>
          <t>EU Act Rationale</t>
        </is>
      </c>
      <c r="Q4" s="16" t="inlineStr">
        <is>
          <t>Organizational Risk Flag</t>
        </is>
      </c>
      <c r="R4" s="16" t="inlineStr">
        <is>
          <t>NIST AI RMF Profile Applied</t>
        </is>
      </c>
      <c r="S4" s="16" t="inlineStr">
        <is>
          <t>Inherent Risk (1-5)</t>
        </is>
      </c>
      <c r="T4" s="16" t="inlineStr">
        <is>
          <t>Governance Status</t>
        </is>
      </c>
      <c r="U4" s="16" t="inlineStr">
        <is>
          <t>Next Action</t>
        </is>
      </c>
    </row>
    <row r="5" ht="157" customHeight="1" s="13">
      <c r="A5" s="17" t="inlineStr">
        <is>
          <t>AI-001</t>
        </is>
      </c>
      <c r="B5" s="17" t="inlineStr">
        <is>
          <t>ClaimDesk Adjudication Assist</t>
        </is>
      </c>
      <c r="C5" s="17" t="inlineStr">
        <is>
          <t>VP Claims Operations</t>
        </is>
      </c>
      <c r="D5" s="17" t="inlineStr">
        <is>
          <t>Recommends approve/deny/pend on benefits claims; adjuster confirms</t>
        </is>
      </c>
      <c r="E5" s="17" t="inlineStr">
        <is>
          <t>Production</t>
        </is>
      </c>
      <c r="F5" s="17" t="inlineStr">
        <is>
          <t>Predictive ML (gradient boosting)</t>
        </is>
      </c>
      <c r="G5" s="17" t="inlineStr">
        <is>
          <t>In-house model on Azure ML</t>
        </is>
      </c>
      <c r="H5" s="17" t="inlineStr">
        <is>
          <t>Build</t>
        </is>
      </c>
      <c r="I5" s="17" t="inlineStr">
        <is>
          <t>Claim history, plan rules, provider codes, member demographics</t>
        </is>
      </c>
      <c r="J5" s="17" t="inlineStr">
        <is>
          <t>Yes</t>
        </is>
      </c>
      <c r="K5" s="17" t="inlineStr">
        <is>
          <t>Determines member benefit outcomes</t>
        </is>
      </c>
      <c r="L5" s="17" t="inlineStr">
        <is>
          <t>Human-in-the-loop (adjuster confirms each)</t>
        </is>
      </c>
      <c r="M5" s="17" t="inlineStr">
        <is>
          <t>Yes — 3 EU-based client plans</t>
        </is>
      </c>
      <c r="N5" s="17" t="inlineStr">
        <is>
          <t>High-Risk (contested)</t>
        </is>
      </c>
      <c r="O5" s="17" t="inlineStr">
        <is>
          <t>2 Dec 2027 if confirmed</t>
        </is>
      </c>
      <c r="P5" s="17" t="inlineStr">
        <is>
          <t>CONTESTED. Annex III(5)(a) covers systems used by or on behalf of public authorities for essential public assistance benefits — Rockledge is a private administrator, and the open question is whether it acts on behalf of a public authority. Annex III(5)(c) covers risk assessment and pricing for life/health insurance — this is claims adjudication, not pricing. Neither category fits cleanly. Treated as high-risk pending counsel determination; see Risk AIR-004 for both classification outcomes.</t>
        </is>
      </c>
      <c r="Q5" s="17" t="inlineStr">
        <is>
          <t>—</t>
        </is>
      </c>
      <c r="R5" s="17" t="inlineStr">
        <is>
          <t>AI RMF Core + fairness testing profile</t>
        </is>
      </c>
      <c r="S5" s="17" t="n">
        <v>5</v>
      </c>
      <c r="T5" s="17" t="inlineStr">
        <is>
          <t>Ungoverned</t>
        </is>
      </c>
      <c r="U5" s="17" t="inlineStr">
        <is>
          <t>Priority 1: obtain counsel determination on Annex III applicability; proceed with fairness testing regardless (see Decision Memo)</t>
        </is>
      </c>
    </row>
    <row r="6" ht="68.65000000000001" customHeight="1" s="13">
      <c r="A6" s="17" t="inlineStr">
        <is>
          <t>AI-002</t>
        </is>
      </c>
      <c r="B6" s="17" t="inlineStr">
        <is>
          <t>Member Support Chatbot</t>
        </is>
      </c>
      <c r="C6" s="17" t="inlineStr">
        <is>
          <t>Director of Member Services</t>
        </is>
      </c>
      <c r="D6" s="17" t="inlineStr">
        <is>
          <t>Answers plan questions, routes to agents; GenAI over plan documents</t>
        </is>
      </c>
      <c r="E6" s="17" t="inlineStr">
        <is>
          <t>Production</t>
        </is>
      </c>
      <c r="F6" s="17" t="inlineStr">
        <is>
          <t>Generative (LLM, RAG)</t>
        </is>
      </c>
      <c r="G6" s="17" t="inlineStr">
        <is>
          <t>Azure OpenAI GPT-4o over indexed plan docs</t>
        </is>
      </c>
      <c r="H6" s="17" t="inlineStr">
        <is>
          <t>Buy + configure</t>
        </is>
      </c>
      <c r="I6" s="17" t="inlineStr">
        <is>
          <t>Member questions, plan documents, limited account context</t>
        </is>
      </c>
      <c r="J6" s="17" t="inlineStr">
        <is>
          <t>Yes</t>
        </is>
      </c>
      <c r="K6" s="17" t="inlineStr">
        <is>
          <t>Informational; can misdirect on coverage</t>
        </is>
      </c>
      <c r="L6" s="17" t="inlineStr">
        <is>
          <t>Human-on-the-loop (escalation available)</t>
        </is>
      </c>
      <c r="M6" s="17" t="inlineStr">
        <is>
          <t>Yes</t>
        </is>
      </c>
      <c r="N6" s="17" t="inlineStr">
        <is>
          <t>Limited-Risk (transparency)</t>
        </is>
      </c>
      <c r="O6" s="17" t="inlineStr">
        <is>
          <t>2 Aug 2026 — NOT DEFERRED</t>
        </is>
      </c>
      <c r="P6" s="17" t="inlineStr">
        <is>
          <t>Art. 50 transparency duties apply to systems interacting with natural persons. The Digital Omnibus deferred Annex III high-risk deadlines but expressly did NOT defer Art. 50. This is the most time-critical item in the inventory.</t>
        </is>
      </c>
      <c r="Q6" s="17" t="inlineStr">
        <is>
          <t>—</t>
        </is>
      </c>
      <c r="R6" s="17" t="inlineStr">
        <is>
          <t>AI RMF Core + Generative AI Profile (AI 600-1)</t>
        </is>
      </c>
      <c r="S6" s="17" t="n">
        <v>4</v>
      </c>
      <c r="T6" s="17" t="inlineStr">
        <is>
          <t>Partially governed</t>
        </is>
      </c>
      <c r="U6" s="17" t="inlineStr">
        <is>
          <t>Deploy AI disclosure immediately (deadline passed); implement confabulation testing; log and sample coverage answers</t>
        </is>
      </c>
    </row>
    <row r="7" ht="35.05" customHeight="1" s="13">
      <c r="A7" s="17" t="inlineStr">
        <is>
          <t>AI-003</t>
        </is>
      </c>
      <c r="B7" s="17" t="inlineStr">
        <is>
          <t>Fraud Pattern Detector</t>
        </is>
      </c>
      <c r="C7" s="17" t="inlineStr">
        <is>
          <t>Director of SIU</t>
        </is>
      </c>
      <c r="D7" s="17" t="inlineStr">
        <is>
          <t>Flags claims for special investigation review</t>
        </is>
      </c>
      <c r="E7" s="17" t="inlineStr">
        <is>
          <t>Production</t>
        </is>
      </c>
      <c r="F7" s="17" t="inlineStr">
        <is>
          <t>Predictive ML (anomaly)</t>
        </is>
      </c>
      <c r="G7" s="17" t="inlineStr">
        <is>
          <t>Third-party SaaS (VigilAI)</t>
        </is>
      </c>
      <c r="H7" s="17" t="inlineStr">
        <is>
          <t>Buy</t>
        </is>
      </c>
      <c r="I7" s="17" t="inlineStr">
        <is>
          <t>Claims data, provider billing patterns</t>
        </is>
      </c>
      <c r="J7" s="17" t="inlineStr">
        <is>
          <t>Yes</t>
        </is>
      </c>
      <c r="K7" s="17" t="inlineStr">
        <is>
          <t>Triggers investigation; may delay payment</t>
        </is>
      </c>
      <c r="L7" s="17" t="inlineStr">
        <is>
          <t>Human-on-the-loop</t>
        </is>
      </c>
      <c r="M7" s="17" t="inlineStr">
        <is>
          <t>No</t>
        </is>
      </c>
      <c r="N7" s="17" t="inlineStr">
        <is>
          <t>Out of EU scope</t>
        </is>
      </c>
      <c r="O7" s="17" t="inlineStr">
        <is>
          <t>N/A</t>
        </is>
      </c>
      <c r="P7" s="17" t="inlineStr">
        <is>
          <t>No EU nexus. If scope expands to EU plans, re-assess against Annex III.</t>
        </is>
      </c>
      <c r="Q7" s="17" t="inlineStr">
        <is>
          <t>—</t>
        </is>
      </c>
      <c r="R7" s="17" t="inlineStr">
        <is>
          <t>AI RMF Core</t>
        </is>
      </c>
      <c r="S7" s="17" t="n">
        <v>3</v>
      </c>
      <c r="T7" s="17" t="inlineStr">
        <is>
          <t>Partially governed</t>
        </is>
      </c>
      <c r="U7" s="17" t="inlineStr">
        <is>
          <t>Vendor AI questionnaire; document oversight; re-assess on any EU expansion</t>
        </is>
      </c>
    </row>
    <row r="8" ht="68.65000000000001" customHeight="1" s="13">
      <c r="A8" s="17" t="inlineStr">
        <is>
          <t>AI-004</t>
        </is>
      </c>
      <c r="B8" s="17" t="inlineStr">
        <is>
          <t>Recruiting Resume Screener</t>
        </is>
      </c>
      <c r="C8" s="17" t="inlineStr">
        <is>
          <t>VP People</t>
        </is>
      </c>
      <c r="D8" s="17" t="inlineStr">
        <is>
          <t>Ranks applicants for benefits-analyst roles</t>
        </is>
      </c>
      <c r="E8" s="17" t="inlineStr">
        <is>
          <t>Pilot</t>
        </is>
      </c>
      <c r="F8" s="17" t="inlineStr">
        <is>
          <t>Predictive ML (NLP scoring)</t>
        </is>
      </c>
      <c r="G8" s="17" t="inlineStr">
        <is>
          <t>Third-party ATS module</t>
        </is>
      </c>
      <c r="H8" s="17" t="inlineStr">
        <is>
          <t>Buy</t>
        </is>
      </c>
      <c r="I8" s="17" t="inlineStr">
        <is>
          <t>Resumes, application forms</t>
        </is>
      </c>
      <c r="J8" s="17" t="inlineStr">
        <is>
          <t>Yes</t>
        </is>
      </c>
      <c r="K8" s="17" t="inlineStr">
        <is>
          <t>Affects hiring shortlist</t>
        </is>
      </c>
      <c r="L8" s="17" t="inlineStr">
        <is>
          <t>Human-in-the-loop (recruiter reviews top 20)</t>
        </is>
      </c>
      <c r="M8" s="17" t="inlineStr">
        <is>
          <t>Yes — EU-based recruiting for Dublin office</t>
        </is>
      </c>
      <c r="N8" s="17" t="inlineStr">
        <is>
          <t>High-Risk</t>
        </is>
      </c>
      <c r="O8" s="17" t="inlineStr">
        <is>
          <t>2 Dec 2027</t>
        </is>
      </c>
      <c r="P8" s="17" t="inlineStr">
        <is>
          <t>CLEAR. Annex III(4)(a) — AI intended for recruitment or selection, in particular to filter applications and evaluate candidates. Unambiguous. Also NYC Local Law 144 exposure for NYC roles, which has no EU deadline dependency.</t>
        </is>
      </c>
      <c r="Q8" s="17" t="inlineStr">
        <is>
          <t>—</t>
        </is>
      </c>
      <c r="R8" s="17" t="inlineStr">
        <is>
          <t>AI RMF Core + fairness testing profile</t>
        </is>
      </c>
      <c r="S8" s="17" t="n">
        <v>5</v>
      </c>
      <c r="T8" s="17" t="inlineStr">
        <is>
          <t>Ungoverned</t>
        </is>
      </c>
      <c r="U8" s="17" t="inlineStr">
        <is>
          <t>Priority 1: pause pilot pending bias audit and vendor transparency documentation (see Decision Memo)</t>
        </is>
      </c>
    </row>
    <row r="9" ht="23.85" customHeight="1" s="13">
      <c r="A9" s="17" t="inlineStr">
        <is>
          <t>AI-005</t>
        </is>
      </c>
      <c r="B9" s="17" t="inlineStr">
        <is>
          <t>Document Intake OCR</t>
        </is>
      </c>
      <c r="C9" s="17" t="inlineStr">
        <is>
          <t>Director of Operations</t>
        </is>
      </c>
      <c r="D9" s="17" t="inlineStr">
        <is>
          <t>Extracts fields from submitted forms</t>
        </is>
      </c>
      <c r="E9" s="17" t="inlineStr">
        <is>
          <t>Production</t>
        </is>
      </c>
      <c r="F9" s="17" t="inlineStr">
        <is>
          <t>Computer vision / OCR</t>
        </is>
      </c>
      <c r="G9" s="17" t="inlineStr">
        <is>
          <t>Azure Document Intelligence</t>
        </is>
      </c>
      <c r="H9" s="17" t="inlineStr">
        <is>
          <t>Buy</t>
        </is>
      </c>
      <c r="I9" s="17" t="inlineStr">
        <is>
          <t>Scanned forms, member IDs</t>
        </is>
      </c>
      <c r="J9" s="17" t="inlineStr">
        <is>
          <t>Yes</t>
        </is>
      </c>
      <c r="K9" s="17" t="inlineStr">
        <is>
          <t>Data entry accuracy</t>
        </is>
      </c>
      <c r="L9" s="17" t="inlineStr">
        <is>
          <t>Human-on-the-loop (exception queue)</t>
        </is>
      </c>
      <c r="M9" s="17" t="inlineStr">
        <is>
          <t>Yes</t>
        </is>
      </c>
      <c r="N9" s="17" t="inlineStr">
        <is>
          <t>Minimal</t>
        </is>
      </c>
      <c r="O9" s="17" t="inlineStr">
        <is>
          <t>N/A</t>
        </is>
      </c>
      <c r="P9" s="17" t="inlineStr">
        <is>
          <t>Data extraction with human exception handling; no consequential decision.</t>
        </is>
      </c>
      <c r="Q9" s="17" t="inlineStr">
        <is>
          <t>—</t>
        </is>
      </c>
      <c r="R9" s="17" t="inlineStr">
        <is>
          <t>AI RMF Core (light)</t>
        </is>
      </c>
      <c r="S9" s="17" t="n">
        <v>2</v>
      </c>
      <c r="T9" s="17" t="inlineStr">
        <is>
          <t>Governed</t>
        </is>
      </c>
      <c r="U9" s="17" t="inlineStr">
        <is>
          <t>Annual accuracy validation; keep in inventory</t>
        </is>
      </c>
    </row>
    <row r="10" ht="46.25" customHeight="1" s="13">
      <c r="A10" s="17" t="inlineStr">
        <is>
          <t>AI-006</t>
        </is>
      </c>
      <c r="B10" s="17" t="inlineStr">
        <is>
          <t>Marketing Content Generator</t>
        </is>
      </c>
      <c r="C10" s="17" t="inlineStr">
        <is>
          <t>Director of Marketing</t>
        </is>
      </c>
      <c r="D10" s="17" t="inlineStr">
        <is>
          <t>Drafts campaign copy and member communications</t>
        </is>
      </c>
      <c r="E10" s="17" t="inlineStr">
        <is>
          <t>Production</t>
        </is>
      </c>
      <c r="F10" s="17" t="inlineStr">
        <is>
          <t>Generative (LLM)</t>
        </is>
      </c>
      <c r="G10" s="17" t="inlineStr">
        <is>
          <t>ChatGPT Enterprise</t>
        </is>
      </c>
      <c r="H10" s="17" t="inlineStr">
        <is>
          <t>Buy</t>
        </is>
      </c>
      <c r="I10" s="17" t="inlineStr">
        <is>
          <t>Marketing briefs, brand guidelines</t>
        </is>
      </c>
      <c r="J10" s="17" t="inlineStr">
        <is>
          <t>No</t>
        </is>
      </c>
      <c r="K10" s="17" t="inlineStr">
        <is>
          <t>Low; human edits all output</t>
        </is>
      </c>
      <c r="L10" s="17" t="inlineStr">
        <is>
          <t>Human-in-the-loop</t>
        </is>
      </c>
      <c r="M10" s="17" t="inlineStr">
        <is>
          <t>No</t>
        </is>
      </c>
      <c r="N10" s="17" t="inlineStr">
        <is>
          <t>Minimal</t>
        </is>
      </c>
      <c r="O10" s="17" t="inlineStr">
        <is>
          <t>N/A</t>
        </is>
      </c>
      <c r="P10" s="17" t="inlineStr">
        <is>
          <t>No personal data; all output human-reviewed before publication. Note Art. 50(4) synthetic-content marking may apply if AI-generated imagery is published.</t>
        </is>
      </c>
      <c r="Q10" s="17" t="inlineStr">
        <is>
          <t>—</t>
        </is>
      </c>
      <c r="R10" s="17" t="inlineStr">
        <is>
          <t>Generative AI Profile (light)</t>
        </is>
      </c>
      <c r="S10" s="17" t="n">
        <v>2</v>
      </c>
      <c r="T10" s="17" t="inlineStr">
        <is>
          <t>Governed</t>
        </is>
      </c>
      <c r="U10" s="17" t="inlineStr">
        <is>
          <t>Acceptable use attestation; monitor for synthetic-media marking obligations</t>
        </is>
      </c>
    </row>
    <row r="11" ht="57.45" customHeight="1" s="13">
      <c r="A11" s="17" t="inlineStr">
        <is>
          <t>AI-007</t>
        </is>
      </c>
      <c r="B11" s="17" t="inlineStr">
        <is>
          <t>Analyst Copilot (M365)</t>
        </is>
      </c>
      <c r="C11" s="17" t="inlineStr">
        <is>
          <t>CIO</t>
        </is>
      </c>
      <c r="D11" s="17" t="inlineStr">
        <is>
          <t>Summarizes documents, drafts emails across the workforce</t>
        </is>
      </c>
      <c r="E11" s="17" t="inlineStr">
        <is>
          <t>Production</t>
        </is>
      </c>
      <c r="F11" s="17" t="inlineStr">
        <is>
          <t>Generative (LLM)</t>
        </is>
      </c>
      <c r="G11" s="17" t="inlineStr">
        <is>
          <t>Microsoft 365 Copilot</t>
        </is>
      </c>
      <c r="H11" s="17" t="inlineStr">
        <is>
          <t>Buy</t>
        </is>
      </c>
      <c r="I11" s="17" t="inlineStr">
        <is>
          <t>Enterprise email, files, chats — potentially PHI/PII</t>
        </is>
      </c>
      <c r="J11" s="17" t="inlineStr">
        <is>
          <t>Yes</t>
        </is>
      </c>
      <c r="K11" s="17" t="inlineStr">
        <is>
          <t>Productivity; data exposure risk</t>
        </is>
      </c>
      <c r="L11" s="17" t="inlineStr">
        <is>
          <t>Human-in-the-loop</t>
        </is>
      </c>
      <c r="M11" s="17" t="inlineStr">
        <is>
          <t>Yes</t>
        </is>
      </c>
      <c r="N11" s="17" t="inlineStr">
        <is>
          <t>Minimal</t>
        </is>
      </c>
      <c r="O11" s="17" t="inlineStr">
        <is>
          <t>N/A</t>
        </is>
      </c>
      <c r="P11" s="17" t="inlineStr">
        <is>
          <t>Not a high-risk use case under the Act. The exposure here is data governance, not AI Act classification — tracked separately in the Organizational Risk Flag column.</t>
        </is>
      </c>
      <c r="Q11" s="17" t="inlineStr">
        <is>
          <t>HIGH — broad access to PHI repositories creates HIPAA exposure independent of AI Act status</t>
        </is>
      </c>
      <c r="R11" s="17" t="inlineStr">
        <is>
          <t>Generative AI Profile — data privacy &amp; information integrity</t>
        </is>
      </c>
      <c r="S11" s="17" t="n">
        <v>3</v>
      </c>
      <c r="T11" s="17" t="inlineStr">
        <is>
          <t>Partially governed</t>
        </is>
      </c>
      <c r="U11" s="17" t="inlineStr">
        <is>
          <t>Restrict Copilot indexing of PHI repositories; DLP for AI-generated content; usage attestation</t>
        </is>
      </c>
    </row>
    <row r="12" ht="57.45" customHeight="1" s="13">
      <c r="A12" s="17" t="inlineStr">
        <is>
          <t>AI-008</t>
        </is>
      </c>
      <c r="B12" s="17" t="inlineStr">
        <is>
          <t>Actuarial Forecast Model</t>
        </is>
      </c>
      <c r="C12" s="17" t="inlineStr">
        <is>
          <t>Chief Actuary</t>
        </is>
      </c>
      <c r="D12" s="17" t="inlineStr">
        <is>
          <t>Projects claims cost for pricing</t>
        </is>
      </c>
      <c r="E12" s="17" t="inlineStr">
        <is>
          <t>Production</t>
        </is>
      </c>
      <c r="F12" s="17" t="inlineStr">
        <is>
          <t>Statistical / ML hybrid</t>
        </is>
      </c>
      <c r="G12" s="17" t="inlineStr">
        <is>
          <t>In-house (R + Python)</t>
        </is>
      </c>
      <c r="H12" s="17" t="inlineStr">
        <is>
          <t>Build</t>
        </is>
      </c>
      <c r="I12" s="17" t="inlineStr">
        <is>
          <t>Historical claims, demographic aggregates</t>
        </is>
      </c>
      <c r="J12" s="17" t="inlineStr">
        <is>
          <t>No (aggregated)</t>
        </is>
      </c>
      <c r="K12" s="17" t="inlineStr">
        <is>
          <t>Pricing decisions; indirect member impact</t>
        </is>
      </c>
      <c r="L12" s="17" t="inlineStr">
        <is>
          <t>Human-in-the-loop</t>
        </is>
      </c>
      <c r="M12" s="17" t="inlineStr">
        <is>
          <t>No</t>
        </is>
      </c>
      <c r="N12" s="17" t="inlineStr">
        <is>
          <t>Minimal</t>
        </is>
      </c>
      <c r="O12" s="17" t="inlineStr">
        <is>
          <t>N/A</t>
        </is>
      </c>
      <c r="P12" s="17" t="inlineStr">
        <is>
          <t>Aggregate data, expert-reviewed outputs. NOTE: if this model were applied to individual health-insurance risk assessment or pricing, Annex III(5)(c) would apply. It is not, today.</t>
        </is>
      </c>
      <c r="Q12" s="17" t="inlineStr">
        <is>
          <t>—</t>
        </is>
      </c>
      <c r="R12" s="17" t="inlineStr">
        <is>
          <t>AI RMF Core + model risk management</t>
        </is>
      </c>
      <c r="S12" s="17" t="n">
        <v>3</v>
      </c>
      <c r="T12" s="17" t="inlineStr">
        <is>
          <t>Governed</t>
        </is>
      </c>
      <c r="U12" s="17" t="inlineStr">
        <is>
          <t>Annual model validation; re-assess if scope moves to individual pricing</t>
        </is>
      </c>
    </row>
    <row r="13" ht="130" customHeight="1" s="13">
      <c r="A13" s="17" t="inlineStr">
        <is>
          <t>AI-009</t>
        </is>
      </c>
      <c r="B13" s="17" t="inlineStr">
        <is>
          <t>Shadow AI (governance finding)</t>
        </is>
      </c>
      <c r="C13" s="17" t="inlineStr">
        <is>
          <t>CISO (owner by default)</t>
        </is>
      </c>
      <c r="D13" s="17" t="inlineStr">
        <is>
          <t>Unsanctioned consumer AI tool use with work data</t>
        </is>
      </c>
      <c r="E13" s="17" t="inlineStr">
        <is>
          <t>Not a system — enterprise finding</t>
        </is>
      </c>
      <c r="F13" s="17" t="inlineStr">
        <is>
          <t>Generative (various)</t>
        </is>
      </c>
      <c r="G13" s="17" t="inlineStr">
        <is>
          <t>Consumer ChatGPT, Gemini, Claude free tiers</t>
        </is>
      </c>
      <c r="H13" s="17" t="inlineStr">
        <is>
          <t>Unmanaged</t>
        </is>
      </c>
      <c r="I13" s="17" t="inlineStr">
        <is>
          <t>Unknown; likely includes member data</t>
        </is>
      </c>
      <c r="J13" s="17" t="inlineStr">
        <is>
          <t>Likely</t>
        </is>
      </c>
      <c r="K13" s="17" t="inlineStr">
        <is>
          <t>Data leakage; policy violation</t>
        </is>
      </c>
      <c r="L13" s="17" t="inlineStr">
        <is>
          <t>None</t>
        </is>
      </c>
      <c r="M13" s="17" t="inlineStr">
        <is>
          <t>Unknown</t>
        </is>
      </c>
      <c r="N13" s="17" t="inlineStr">
        <is>
          <t>N/A — governance finding</t>
        </is>
      </c>
      <c r="O13" s="17" t="inlineStr">
        <is>
          <t>N/A</t>
        </is>
      </c>
      <c r="P13" s="17" t="inlineStr">
        <is>
          <t>Not Applicable: AI Act system classification. AI-009 records an enterprise governance finding, not a discrete AI system. CASB telemetry identified 214 users of consumer AI endpoints in 30 days. This determination does not exempt the underlying uses from assessment.</t>
        </is>
      </c>
      <c r="Q13" s="17" t="inlineStr">
        <is>
          <t>CRITICAL — uncontrolled PHI egress to third-party models with no DPA or contractual protection</t>
        </is>
      </c>
      <c r="R13" s="17" t="inlineStr">
        <is>
          <t>AI RMF Govern function</t>
        </is>
      </c>
      <c r="S13" s="17" t="n">
        <v>4</v>
      </c>
      <c r="T13" s="17" t="inlineStr">
        <is>
          <t>Ungoverned</t>
        </is>
      </c>
      <c r="U13" s="17" t="inlineStr">
        <is>
          <t>Acceptable use policy; CASB blocking; sanctioned alternative (AI-007); awareness campaign</t>
        </is>
      </c>
    </row>
  </sheetData>
  <mergeCells count="2">
    <mergeCell ref="A1:U1"/>
    <mergeCell ref="A2:U2"/>
  </mergeCells>
  <conditionalFormatting sqref="N5:N13">
    <cfRule type="expression" rank="0" priority="2" equalAverage="0" aboveAverage="0" dxfId="0" text="" percent="0" bottom="0">
      <formula>EXACT(N5,"High-Risk")</formula>
    </cfRule>
    <cfRule type="expression" rank="0" priority="3" equalAverage="0" aboveAverage="0" dxfId="1" text="" percent="0" bottom="0">
      <formula>EXACT(N5,"High-Risk (contested)")</formula>
    </cfRule>
    <cfRule type="expression" rank="0" priority="4" equalAverage="0" aboveAverage="0" dxfId="2" text="" percent="0" bottom="0">
      <formula>EXACT(N5,"Limited-Risk (transparency)")</formula>
    </cfRule>
    <cfRule type="expression" rank="0" priority="5" equalAverage="0" aboveAverage="0" dxfId="3" text="" percent="0" bottom="0">
      <formula>EXACT(N5,"Minimal")</formula>
    </cfRule>
    <cfRule type="expression" rank="0" priority="6" equalAverage="0" aboveAverage="0" dxfId="4" text="" percent="0" bottom="0">
      <formula>EXACT(N5,"Out of EU scope")</formula>
    </cfRule>
    <cfRule type="expression" rank="0" priority="7" equalAverage="0" aboveAverage="0" dxfId="5" text="" percent="0" bottom="0">
      <formula>EXACT(N5,"N/A — governance finding")</formula>
    </cfRule>
  </conditionalFormatting>
  <conditionalFormatting sqref="O5:O13">
    <cfRule type="expression" rank="0" priority="8" equalAverage="0" aboveAverage="0" dxfId="0" text="" percent="0" bottom="0">
      <formula>ISNUMBER(SEARCH("NOT DEFERRED",O5))</formula>
    </cfRule>
  </conditionalFormatting>
  <conditionalFormatting sqref="R5:R13">
    <cfRule type="expression" rank="0" priority="9" equalAverage="0" aboveAverage="0" dxfId="6" text="" percent="0" bottom="0">
      <formula>OR(LEFT(R5,4)="HIGH",LEFT(R5,8)="CRITICAL")</formula>
    </cfRule>
  </conditionalFormatting>
  <conditionalFormatting sqref="T5:T13">
    <cfRule type="expression" rank="0" priority="10" equalAverage="0" aboveAverage="0" dxfId="0" text="" percent="0" bottom="0">
      <formula>EXACT(T5,"Ungoverned")</formula>
    </cfRule>
    <cfRule type="expression" rank="0" priority="11" equalAverage="0" aboveAverage="0" dxfId="2" text="" percent="0" bottom="0">
      <formula>EXACT(T5,"Partially governed")</formula>
    </cfRule>
    <cfRule type="expression" rank="0" priority="12" equalAverage="0" aboveAverage="0" dxfId="3" text="" percent="0" bottom="0">
      <formula>EXACT(T5,"Governed")</formula>
    </cfRule>
  </conditionalFormatting>
  <conditionalFormatting sqref="S5:S13">
    <cfRule type="expression" rank="0" priority="13" equalAverage="0" aboveAverage="0" dxfId="6" text="" percent="0" bottom="0">
      <formula>S5&gt;=4</formula>
    </cfRule>
  </conditionalFormatting>
  <dataValidations count="2">
    <dataValidation sqref="N5:N43" showDropDown="0" showInputMessage="0" showErrorMessage="0" allowBlank="1" type="list" errorStyle="stop" operator="between">
      <formula1>"Unacceptable-Risk (prohibited),High-Risk,High-Risk (contested),Limited-Risk (transparency),Minimal,Out of EU scope,N/A — governance finding"</formula1>
      <formula2>0</formula2>
    </dataValidation>
    <dataValidation sqref="T5:T43" showDropDown="0" showInputMessage="0" showErrorMessage="0" allowBlank="1" type="list" errorStyle="stop" operator="between">
      <formula1>"Ungoverned,Partially governed,Governed"</formula1>
      <formula2>0</formula2>
    </dataValidation>
  </dataValidations>
  <printOptions horizontalCentered="0" verticalCentered="0" headings="0" gridLines="0" gridLinesSet="1"/>
  <pageMargins left="0.25" right="0.25" top="0.35" bottom="0.35" header="0.511811023622047" footer="0.511811023622047"/>
  <pageSetup orientation="landscape" paperSize="3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B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2" min="1" max="1"/>
    <col width="10" customWidth="1" style="12" min="2" max="2"/>
  </cols>
  <sheetData>
    <row r="1" ht="19.7" customHeight="1" s="13">
      <c r="A1" s="14" t="inlineStr">
        <is>
          <t>INVENTORY SUMMARY</t>
        </is>
      </c>
    </row>
    <row r="2" ht="15" customHeight="1" s="13">
      <c r="A2" s="15" t="inlineStr">
        <is>
          <t>Eight identified AI systems plus one enterprise shadow-AI governance finding (AI-009). Counts total 9 rows; AI-009 is not a discrete system and is not classifiable under the AI Act.</t>
        </is>
      </c>
    </row>
    <row r="3"/>
    <row r="4" ht="15" customHeight="1" s="13">
      <c r="A4" s="16" t="inlineStr">
        <is>
          <t>EU AI Act Tier</t>
        </is>
      </c>
      <c r="B4" s="16" t="inlineStr">
        <is>
          <t>Count</t>
        </is>
      </c>
    </row>
    <row r="5" ht="15" customHeight="1" s="13">
      <c r="A5" s="17" t="inlineStr">
        <is>
          <t>High-Risk</t>
        </is>
      </c>
      <c r="B5" s="17">
        <f>COUNTIF('AI System Inventory'!$N$5:$N$13,A5)</f>
        <v/>
      </c>
    </row>
    <row r="6" ht="15" customHeight="1" s="13">
      <c r="A6" s="17" t="inlineStr">
        <is>
          <t>High-Risk (contested)</t>
        </is>
      </c>
      <c r="B6" s="17">
        <f>COUNTIF('AI System Inventory'!$N$5:$N$13,A6)</f>
        <v/>
      </c>
    </row>
    <row r="7" ht="15" customHeight="1" s="13">
      <c r="A7" s="17" t="inlineStr">
        <is>
          <t>Limited-Risk (transparency)</t>
        </is>
      </c>
      <c r="B7" s="17">
        <f>COUNTIF('AI System Inventory'!$N$5:$N$13,A7)</f>
        <v/>
      </c>
    </row>
    <row r="8" ht="15" customHeight="1" s="13">
      <c r="A8" s="17" t="inlineStr">
        <is>
          <t>Minimal</t>
        </is>
      </c>
      <c r="B8" s="17">
        <f>COUNTIF('AI System Inventory'!$N$5:$N$13,A8)</f>
        <v/>
      </c>
    </row>
    <row r="9" ht="15" customHeight="1" s="13">
      <c r="A9" s="17" t="inlineStr">
        <is>
          <t>Out of EU scope</t>
        </is>
      </c>
      <c r="B9" s="17">
        <f>COUNTIF('AI System Inventory'!$N$5:$N$13,A9)</f>
        <v/>
      </c>
    </row>
    <row r="10" ht="15" customHeight="1" s="13">
      <c r="A10" s="17" t="inlineStr">
        <is>
          <t>N/A — governance finding</t>
        </is>
      </c>
      <c r="B10" s="17">
        <f>COUNTIF('AI System Inventory'!$N$5:$N$13,A10)</f>
        <v/>
      </c>
    </row>
    <row r="11"/>
    <row r="12" ht="15" customHeight="1" s="13">
      <c r="A12" s="16" t="inlineStr">
        <is>
          <t>Governance Status</t>
        </is>
      </c>
      <c r="B12" s="16" t="inlineStr">
        <is>
          <t>Count</t>
        </is>
      </c>
    </row>
    <row r="13" ht="15" customHeight="1" s="13">
      <c r="A13" s="17" t="inlineStr">
        <is>
          <t>Ungoverned</t>
        </is>
      </c>
      <c r="B13" s="17">
        <f>COUNTIF('AI System Inventory'!$T$5:$T$13,A13)</f>
        <v/>
      </c>
    </row>
    <row r="14" ht="15" customHeight="1" s="13">
      <c r="A14" s="17" t="inlineStr">
        <is>
          <t>Partially governed</t>
        </is>
      </c>
      <c r="B14" s="17">
        <f>COUNTIF('AI System Inventory'!$T$5:$T$13,A14)</f>
        <v/>
      </c>
    </row>
    <row r="15" ht="15" customHeight="1" s="13">
      <c r="A15" s="17" t="inlineStr">
        <is>
          <t>Governed</t>
        </is>
      </c>
      <c r="B15" s="17">
        <f>COUNTIF('AI System Inventory'!$T$5:$T$13,A15)</f>
        <v/>
      </c>
    </row>
    <row r="16"/>
    <row r="17" ht="15" customHeight="1" s="13">
      <c r="A17" s="18" t="inlineStr">
        <is>
          <t>Entries flagged for personal data</t>
        </is>
      </c>
      <c r="B17" s="12">
        <f>COUNTIF('AI System Inventory'!$J$5:$J$13,"Yes")</f>
        <v/>
      </c>
    </row>
    <row r="18" ht="15" customHeight="1" s="13">
      <c r="A18" s="18" t="inlineStr">
        <is>
          <t>Systems with EU nexus</t>
        </is>
      </c>
      <c r="B18" s="12">
        <f>COUNTIF('AI System Inventory'!$M$5:$M$13,"Yes*")</f>
        <v/>
      </c>
    </row>
    <row r="19" ht="15" customHeight="1" s="13">
      <c r="A19" s="19" t="inlineStr">
        <is>
          <t>High-Risk (incl. contested) AND Ungoverned</t>
        </is>
      </c>
      <c r="B19" s="12">
        <f>COUNTIFS('AI System Inventory'!$N$5:$N$13,"High-Risk*",'AI System Inventory'!$T$5:$T$13,"Ungoverned")</f>
        <v/>
      </c>
    </row>
  </sheetData>
  <printOptions horizontalCentered="0" verticalCentered="0" headings="0" gridLines="0" gridLinesSet="1"/>
  <pageMargins left="0.25" right="0.25" top="0.35" bottom="0.3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2" min="1" max="1"/>
    <col width="110" customWidth="1" style="12" min="2" max="2"/>
  </cols>
  <sheetData>
    <row r="1" ht="19.7" customHeight="1" s="13">
      <c r="A1" s="14" t="inlineStr">
        <is>
          <t>HOW SYSTEMS WERE CLASSIFIED</t>
        </is>
      </c>
    </row>
    <row r="2"/>
    <row r="3" ht="35.05" customHeight="1" s="13">
      <c r="A3" s="20" t="inlineStr">
        <is>
          <t>Why an inventory first</t>
        </is>
      </c>
      <c r="B3" s="21" t="inlineStr">
        <is>
          <t>You cannot govern what you have not enumerated. Every AI governance framework — NIST AI RMF (Map 1), ISO/IEC 42001 (A.4 resources), EU AI Act (registration obligations) — presumes an inventory exists. Most organizations do not have one; discovery via procurement records, cloud consoles, and CASB telemetry is the first real task.</t>
        </is>
      </c>
    </row>
    <row r="4" ht="35.05" customHeight="1" s="13">
      <c r="A4" s="20" t="inlineStr">
        <is>
          <t>Discovery sources used</t>
        </is>
      </c>
      <c r="B4" s="21" t="inlineStr">
        <is>
          <t>(1) Procurement and SaaS spend records, (2) Azure/M365 admin consoles, (3) CASB / web proxy telemetry for AI endpoints, (4) Interviews with department heads, (5) Engineering repository scan for ML dependencies. AI-009 (shadow AI) surfaced only through source 3.</t>
        </is>
      </c>
    </row>
    <row r="5" ht="35.05" customHeight="1" s="13">
      <c r="A5" s="20" t="inlineStr">
        <is>
          <t>EU AI Act tiers</t>
        </is>
      </c>
      <c r="B5" s="21" t="inlineStr">
        <is>
          <t>Unacceptable (prohibited) → High-Risk (Annex III categories incl. employment, essential private services, credit) → Limited (transparency duties, e.g. chatbots) → Minimal. Classification depends on use case and context, not on the technology. The same LLM is Minimal in marketing and Limited in a member-facing chatbot.</t>
        </is>
      </c>
    </row>
    <row r="6" ht="35.05" customHeight="1" s="13">
      <c r="A6" s="20" t="inlineStr">
        <is>
          <t>Human oversight modes</t>
        </is>
      </c>
      <c r="B6" s="21" t="inlineStr">
        <is>
          <t>In-the-loop = a person confirms each output before it takes effect. On-the-loop = system acts, person monitors and can intervene. Out-of-the-loop = fully automated. Under the EU AI Act, human oversight (Art. 14) is a required control for high-risk systems, not a classification-reducing factor by itself.</t>
        </is>
      </c>
    </row>
    <row r="7" ht="23.85" customHeight="1" s="13">
      <c r="A7" s="20" t="inlineStr">
        <is>
          <t>Inherent risk (1-5)</t>
        </is>
      </c>
      <c r="B7" s="21" t="inlineStr">
        <is>
          <t>Composite of decision impact, personal data sensitivity, autonomy, and population affected. Ordinal, for prioritization only — see the Risk Assessment artifact for the fuller treatment.</t>
        </is>
      </c>
    </row>
    <row r="8" ht="35.05" customHeight="1" s="13">
      <c r="A8" s="20" t="inlineStr">
        <is>
          <t>Timeline caveat</t>
        </is>
      </c>
      <c r="B8" s="21" t="inlineStr">
        <is>
          <t>EU AI Act high-risk obligations were originally applicable 2 August 2026. The Digital Omnibus on AI (Regulation (EU) 2026/1744) entered into force 27 July 2026 and deferred standalone Annex III high-risk obligations to 2 December 2027 (embedded Annex I systems to 2 August 2028). The deferral is selective: Article 50 transparency duties, the Article 5 prohibitions, and GPAI provider obligations were not deferred and applied from 2 August 2026. Plans here use the enacted 2 December 2027 date for standalone high-risk systems and the unchanged 2 August 2026 date for transparency duties.</t>
        </is>
      </c>
    </row>
    <row r="9" ht="23.85" customHeight="1" s="13">
      <c r="A9" s="20" t="inlineStr">
        <is>
          <t>What this is not</t>
        </is>
      </c>
      <c r="B9" s="21" t="inlineStr">
        <is>
          <t>This is a portfolio artifact for a fictional company. It is not legal advice on EU AI Act applicability. Real classification of a high-risk system requires counsel and, for many Annex III categories, a documented conformity assessment.</t>
        </is>
      </c>
    </row>
  </sheetData>
  <printOptions horizontalCentered="0" verticalCentered="0" headings="0" gridLines="0" gridLinesSet="1"/>
  <pageMargins left="0.25" right="0.25" top="0.35" bottom="0.3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Chris Morrissey</dc:creator>
  <dc:language xmlns:dc="http://purl.org/dc/elements/1.1/">en-US</dc:language>
  <dcterms:created xmlns:dcterms="http://purl.org/dc/terms/" xmlns:xsi="http://www.w3.org/2001/XMLSchema-instance" xsi:type="dcterms:W3CDTF">2026-07-15T14:30:00Z</dcterms:created>
  <dcterms:modified xmlns:dcterms="http://purl.org/dc/terms/" xmlns:xsi="http://www.w3.org/2001/XMLSchema-instance" xsi:type="dcterms:W3CDTF">2026-10-19T04:59:12Z</dcterms:modified>
  <cp:lastModifiedBy>Chris Morrissey</cp:lastModifiedBy>
  <cp:revision>0</cp:revision>
</cp:coreProperties>
</file>