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IST CSF 2.0 Gap Assessment" sheetId="1" state="visible" r:id="rId3"/>
    <sheet name="Maturity Summary" sheetId="2" state="visible" r:id="rId4"/>
    <sheet name="Legend &amp; Methodolog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<sst xmlns="http://schemas.openxmlformats.org/spreadsheetml/2006/main" count="159" uniqueCount="129">
  <si>
    <t xml:space="preserve">MERIDIAN HEALTH ANALYTICS, INC. — NIST CSF 2.0 GAP ASSESSMENT</t>
  </si>
  <si>
    <t xml:space="preserve">Sample GRC portfolio artifact | Fictional company | Assessed against NIST Cybersecurity Framework 2.0 | Assessment date: 2026-02-01</t>
  </si>
  <si>
    <t xml:space="preserve">Function</t>
  </si>
  <si>
    <t xml:space="preserve">Category ID</t>
  </si>
  <si>
    <t xml:space="preserve">Category / Subcategory</t>
  </si>
  <si>
    <t xml:space="preserve">Description</t>
  </si>
  <si>
    <t xml:space="preserve">Current Maturity (0-4)</t>
  </si>
  <si>
    <t xml:space="preserve">Target Maturity (0-4)</t>
  </si>
  <si>
    <t xml:space="preserve">Gap</t>
  </si>
  <si>
    <t xml:space="preserve">Priority</t>
  </si>
  <si>
    <t xml:space="preserve">Evidence / Current State</t>
  </si>
  <si>
    <t xml:space="preserve">Remediation Action</t>
  </si>
  <si>
    <t xml:space="preserve">Owner</t>
  </si>
  <si>
    <t xml:space="preserve">GOVERN</t>
  </si>
  <si>
    <t xml:space="preserve">GV.OC</t>
  </si>
  <si>
    <t xml:space="preserve">Organizational Context</t>
  </si>
  <si>
    <t xml:space="preserve">The organization's mission, stakeholders, and legal/regulatory/contractual requirements are understood and inform cybersecurity risk management</t>
  </si>
  <si>
    <t xml:space="preserve">Add regulatory-driver field to risk register intake so every risk traces to a specific obligation</t>
  </si>
  <si>
    <t xml:space="preserve">Compliance Officer</t>
  </si>
  <si>
    <t xml:space="preserve">GV.RM</t>
  </si>
  <si>
    <t xml:space="preserve">Risk Management Strategy</t>
  </si>
  <si>
    <t xml:space="preserve">Organizational priorities, constraints, and risk tolerance are established and used to support operational risk decisions</t>
  </si>
  <si>
    <t xml:space="preserve">Draft and board-approve a formal risk appetite statement with quantitative thresholds by risk category</t>
  </si>
  <si>
    <t xml:space="preserve">CISO</t>
  </si>
  <si>
    <t xml:space="preserve">GV.RR</t>
  </si>
  <si>
    <t xml:space="preserve">Roles, Responsibilities, and Authorities</t>
  </si>
  <si>
    <t xml:space="preserve">Cybersecurity roles, responsibilities, and authorities are established, communicated, and enforced</t>
  </si>
  <si>
    <t xml:space="preserve">RACI exists for incident response; not yet extended to broader security program governance</t>
  </si>
  <si>
    <t xml:space="preserve">Publish enterprise-wide security RACI covering all GRC and engineering functions</t>
  </si>
  <si>
    <t xml:space="preserve">GV.PO</t>
  </si>
  <si>
    <t xml:space="preserve">Policy</t>
  </si>
  <si>
    <t xml:space="preserve">Organizational cybersecurity policy is established, communicated, and enforced</t>
  </si>
  <si>
    <t xml:space="preserve">Implement policy management tool with automated review reminders and version history</t>
  </si>
  <si>
    <t xml:space="preserve">GV.OV</t>
  </si>
  <si>
    <t xml:space="preserve">Oversight</t>
  </si>
  <si>
    <t xml:space="preserve">Results of organization-wide cybersecurity risk management activities are used to inform, improve, and adjust the strategy</t>
  </si>
  <si>
    <t xml:space="preserve">Institute quarterly board-level cybersecurity risk briefing with standardized reporting template</t>
  </si>
  <si>
    <t xml:space="preserve">GV.SC</t>
  </si>
  <si>
    <t xml:space="preserve">Cybersecurity Supply Chain Risk Management</t>
  </si>
  <si>
    <t xml:space="preserve">Cyber supply chain risk management processes are identified, established, managed, monitored, and improved</t>
  </si>
  <si>
    <t xml:space="preserve">Deploy TPRM platform; require SOC 2/questionnaire before any vendor onboarding</t>
  </si>
  <si>
    <t xml:space="preserve">Vendor Risk Manager</t>
  </si>
  <si>
    <t xml:space="preserve">IDENTIFY</t>
  </si>
  <si>
    <t xml:space="preserve">ID.AM</t>
  </si>
  <si>
    <t xml:space="preserve">Asset Management</t>
  </si>
  <si>
    <t xml:space="preserve">Assets (data, hardware, software, systems, facilities) are identified and managed</t>
  </si>
  <si>
    <t xml:space="preserve">Deploy SaaS discovery/CASB tooling to close asset visibility gap</t>
  </si>
  <si>
    <t xml:space="preserve">IT Asset Manager</t>
  </si>
  <si>
    <t xml:space="preserve">ID.RA</t>
  </si>
  <si>
    <t xml:space="preserve">Risk Assessment</t>
  </si>
  <si>
    <t xml:space="preserve">The cybersecurity risk to the organization, assets, and individuals is understood</t>
  </si>
  <si>
    <t xml:space="preserve">Extend risk assessment to include threat-intelligence-informed likelihood scoring</t>
  </si>
  <si>
    <t xml:space="preserve">GRC Analyst</t>
  </si>
  <si>
    <t xml:space="preserve">ID.IM</t>
  </si>
  <si>
    <t xml:space="preserve">Improvement</t>
  </si>
  <si>
    <t xml:space="preserve">Improvements to organizational cybersecurity risk management processes are identified across all CSF functions</t>
  </si>
  <si>
    <t xml:space="preserve">Stand up CAPA tracker linking incident/audit findings to remediation with due dates and closure verification</t>
  </si>
  <si>
    <t xml:space="preserve">PROTECT</t>
  </si>
  <si>
    <t xml:space="preserve">PR.AA</t>
  </si>
  <si>
    <t xml:space="preserve">Identity Management, Authentication, and Access Control</t>
  </si>
  <si>
    <t xml:space="preserve">Access to physical and logical assets is limited to authorized users, services, and hardware</t>
  </si>
  <si>
    <t xml:space="preserve">Roll out PAM with just-in-time access; complete least-privilege access recertification</t>
  </si>
  <si>
    <t xml:space="preserve">IAM Manager</t>
  </si>
  <si>
    <t xml:space="preserve">PR.AT</t>
  </si>
  <si>
    <t xml:space="preserve">Awareness and Training</t>
  </si>
  <si>
    <t xml:space="preserve">Personnel are provided cybersecurity awareness and training</t>
  </si>
  <si>
    <t xml:space="preserve">Move to quarterly training cadence with role-based modules for high-risk groups</t>
  </si>
  <si>
    <t xml:space="preserve">Security Awareness Lead</t>
  </si>
  <si>
    <t xml:space="preserve">PR.DS</t>
  </si>
  <si>
    <t xml:space="preserve">Data Security</t>
  </si>
  <si>
    <t xml:space="preserve">Data is managed consistent with the organization's risk strategy to protect confidentiality, integrity, and availability</t>
  </si>
  <si>
    <t xml:space="preserve">Complete encryption-at-rest remediation for all PHI-containing systems; enforce via policy and automated scanning</t>
  </si>
  <si>
    <t xml:space="preserve">Data Governance Lead</t>
  </si>
  <si>
    <t xml:space="preserve">PR.PS</t>
  </si>
  <si>
    <t xml:space="preserve">Platform Security</t>
  </si>
  <si>
    <t xml:space="preserve">The hardware, software, and services of physical and virtual platforms are managed consistent with the risk strategy</t>
  </si>
  <si>
    <t xml:space="preserve">Deploy continuous cloud security posture management (CSPM) with automated guardrails</t>
  </si>
  <si>
    <t xml:space="preserve">Cloud Security Engineer</t>
  </si>
  <si>
    <t xml:space="preserve">PR.IR</t>
  </si>
  <si>
    <t xml:space="preserve">Technology Infrastructure Resilience</t>
  </si>
  <si>
    <t xml:space="preserve">Security architectures are managed to protect asset confidentiality, integrity, availability, and resilience</t>
  </si>
  <si>
    <t xml:space="preserve">Stand up tested multi-region failover; conduct semi-annual DR tabletop exercises</t>
  </si>
  <si>
    <t xml:space="preserve">Director of Infrastructure</t>
  </si>
  <si>
    <t xml:space="preserve">DETECT</t>
  </si>
  <si>
    <t xml:space="preserve">DE.CM</t>
  </si>
  <si>
    <t xml:space="preserve">Continuous Monitoring</t>
  </si>
  <si>
    <t xml:space="preserve">Assets are monitored to find anomalies, indicators of compromise, and other potentially adverse events</t>
  </si>
  <si>
    <t xml:space="preserve">Onboard colocation facility logs to SIEM; tune detection rules against MITRE ATT&amp;CK healthcare threat profile</t>
  </si>
  <si>
    <t xml:space="preserve">Security Operations Lead</t>
  </si>
  <si>
    <t xml:space="preserve">DE.AE</t>
  </si>
  <si>
    <t xml:space="preserve">Adverse Event Analysis</t>
  </si>
  <si>
    <t xml:space="preserve">Anomalies, indicators of compromise, and other potentially adverse events are analyzed to characterize events and detect cybersecurity incidents</t>
  </si>
  <si>
    <t xml:space="preserve">Maintain current state; revisit staffing model at next headcount planning cycle</t>
  </si>
  <si>
    <t xml:space="preserve">RESPOND</t>
  </si>
  <si>
    <t xml:space="preserve">RS.MA</t>
  </si>
  <si>
    <t xml:space="preserve">Incident Management</t>
  </si>
  <si>
    <t xml:space="preserve">Responses to detected cybersecurity incidents are managed</t>
  </si>
  <si>
    <t xml:space="preserve">Schedule and conduct IR tabletop exercise; update plan based on findings</t>
  </si>
  <si>
    <t xml:space="preserve">Incident Response Lead</t>
  </si>
  <si>
    <t xml:space="preserve">RS.CO</t>
  </si>
  <si>
    <t xml:space="preserve">Incident Response Reporting and Communication</t>
  </si>
  <si>
    <t xml:space="preserve">Response activities are coordinated with internal and external stakeholders</t>
  </si>
  <si>
    <t xml:space="preserve">Run breach-notification tabletop scenario involving Legal, Compliance, and Communications</t>
  </si>
  <si>
    <t xml:space="preserve">RECOVER</t>
  </si>
  <si>
    <t xml:space="preserve">RC.RP</t>
  </si>
  <si>
    <t xml:space="preserve">Incident Recovery Plan Execution</t>
  </si>
  <si>
    <t xml:space="preserve">Restoration activities are performed to ensure operational availability of systems and services affected by cybersecurity incidents</t>
  </si>
  <si>
    <t xml:space="preserve">Conduct full-stack recovery exercise measuring actual RTO/RPO against BIA targets</t>
  </si>
  <si>
    <t xml:space="preserve">RC.CO</t>
  </si>
  <si>
    <t xml:space="preserve">Incident Recovery Communication</t>
  </si>
  <si>
    <t xml:space="preserve">Restoration activities are coordinated with internal and external parties</t>
  </si>
  <si>
    <t xml:space="preserve">Maintain current state</t>
  </si>
  <si>
    <t xml:space="preserve">Communications Lead</t>
  </si>
  <si>
    <t xml:space="preserve">MATURITY SUMMARY BY FUNCTION</t>
  </si>
  <si>
    <t xml:space="preserve"># Categories Assessed</t>
  </si>
  <si>
    <t xml:space="preserve">Avg Current Maturity</t>
  </si>
  <si>
    <t xml:space="preserve">Avg Target Maturity</t>
  </si>
  <si>
    <t xml:space="preserve">Avg Gap</t>
  </si>
  <si>
    <t xml:space="preserve">GAP ASSESSMENT — METHODOLOGY</t>
  </si>
  <si>
    <t xml:space="preserve">Framework</t>
  </si>
  <si>
    <t xml:space="preserve">NIST Cybersecurity Framework (CSF) 2.0 — 6 Functions: Govern, Identify, Protect, Detect, Respond, Recover</t>
  </si>
  <si>
    <t xml:space="preserve">Maturity Scale</t>
  </si>
  <si>
    <t xml:space="preserve">0 = Not Performed, 1 = Ad Hoc, 2 = Repeatable but Informal, 3 = Defined &amp; Managed, 4 = Optimized/Continuously Improved</t>
  </si>
  <si>
    <t xml:space="preserve">Target Maturity minus Current Maturity, calculated automatically</t>
  </si>
  <si>
    <t xml:space="preserve">Gap &gt;= 2 = High | Gap = 1 = Medium | Gap &lt;= 0 = Low</t>
  </si>
  <si>
    <t xml:space="preserve">Scope note</t>
  </si>
  <si>
    <t xml:space="preserve">This sample assesses representative Categories, not every CSF Subcategory, to keep the artifact reviewable. A production assessment would score all ~106 CSF 2.0 Subcategories.</t>
  </si>
  <si>
    <t xml:space="preserve">Next steps</t>
  </si>
  <si>
    <t xml:space="preserve">High-priority gaps feed directly into the Risk Register and inform the annual security roadmap and budget request.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</si>
</sst>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7030A0"/>
        <bgColor rgb="FF99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BF8F00"/>
        <bgColor rgb="FFC55A11"/>
      </patternFill>
    </fill>
    <fill>
      <patternFill patternType="solid">
        <fgColor rgb="FFC55A11"/>
        <bgColor rgb="FF993300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A9D18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7B7B7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FCC99"/>
      <rgbColor rgb="FF2E75B6"/>
      <rgbColor rgb="FF33CCCC"/>
      <rgbColor rgb="FF99CC00"/>
      <rgbColor rgb="FFFFC000"/>
      <rgbColor rgb="FFBF8F00"/>
      <rgbColor rgb="FFC55A1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26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10" min="9" style="0" width="34"/>
    <col collapsed="false" customWidth="true" hidden="false" outlineLevel="0" max="11" min="11" style="0" width="18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46.25" hidden="false" customHeight="false" outlineLevel="0" collapsed="false">
      <c r="A5" s="4" t="s">
        <v>13</v>
      </c>
      <c r="B5" s="5" t="s">
        <v>14</v>
      </c>
      <c r="C5" s="5" t="s">
        <v>15</v>
      </c>
      <c r="D5" s="5" t="s">
        <v>16</v>
      </c>
      <c r="E5" s="5" t="n">
        <v>3</v>
      </c>
      <c r="F5" s="5" t="n">
        <v>4</v>
      </c>
      <c r="G5" s="6" t="n">
        <f aca="false">IF(OR(E5="",F5=""),"",F5-E5)</f>
        <v>1</v>
      </c>
      <c r="H5" s="7" t="str">
        <f aca="false">IF(G5="","",IF(G5&gt;=2,"High",IF(G5=1,"Medium","Low")))</f>
        <v>Medium</v>
      </c>
      <c r="I5" s="5" t="s">
        <v>17</v>
      </c>
      <c r="J5" s="5" t="s">
        <v>18</v>
      </c>
    </row>
    <row r="6" customFormat="false" ht="35.05" hidden="false" customHeight="false" outlineLevel="0" collapsed="false">
      <c r="A6" s="4" t="s">
        <v>13</v>
      </c>
      <c r="B6" s="5" t="s">
        <v>19</v>
      </c>
      <c r="C6" s="5" t="s">
        <v>20</v>
      </c>
      <c r="D6" s="5" t="s">
        <v>21</v>
      </c>
      <c r="E6" s="5" t="n">
        <v>2</v>
      </c>
      <c r="F6" s="5" t="n">
        <v>4</v>
      </c>
      <c r="G6" s="6" t="n">
        <f aca="false">IF(OR(E6="",F6=""),"",F6-E6)</f>
        <v>2</v>
      </c>
      <c r="H6" s="7" t="str">
        <f aca="false">IF(G6="","",IF(G6&gt;=2,"High",IF(G6=1,"Medium","Low")))</f>
        <v>High</v>
      </c>
      <c r="I6" s="5" t="s">
        <v>22</v>
      </c>
      <c r="J6" s="5" t="s">
        <v>23</v>
      </c>
    </row>
    <row r="7" customFormat="false" ht="35.05" hidden="false" customHeight="false" outlineLevel="0" collapsed="false">
      <c r="A7" s="4" t="s">
        <v>13</v>
      </c>
      <c r="B7" s="5" t="s">
        <v>24</v>
      </c>
      <c r="C7" s="5" t="s">
        <v>25</v>
      </c>
      <c r="D7" s="5" t="s">
        <v>26</v>
      </c>
      <c r="E7" s="5"/>
      <c r="F7" s="5"/>
      <c r="G7" s="6" t="str">
        <f aca="false">IF(OR(E7="",F7=""),"",F7-E7)</f>
        <v/>
      </c>
      <c r="H7" s="7" t="str">
        <f aca="false">IF(G7="","",IF(G7&gt;=2,"High",IF(G7=1,"Medium","Low")))</f>
        <v/>
      </c>
      <c r="I7" s="5" t="s">
        <v>27</v>
      </c>
      <c r="J7" s="5" t="s">
        <v>28</v>
      </c>
      <c r="K7" s="5" t="s">
        <v>23</v>
      </c>
    </row>
    <row r="8" customFormat="false" ht="35.05" hidden="false" customHeight="false" outlineLevel="0" collapsed="false">
      <c r="A8" s="4" t="s">
        <v>13</v>
      </c>
      <c r="B8" s="5" t="s">
        <v>29</v>
      </c>
      <c r="C8" s="5" t="s">
        <v>30</v>
      </c>
      <c r="D8" s="5" t="s">
        <v>31</v>
      </c>
      <c r="E8" s="5" t="n">
        <v>3</v>
      </c>
      <c r="F8" s="5" t="n">
        <v>4</v>
      </c>
      <c r="G8" s="6" t="n">
        <f aca="false">IF(OR(E8="",F8=""),"",F8-E8)</f>
        <v>1</v>
      </c>
      <c r="H8" s="7" t="str">
        <f aca="false">IF(G8="","",IF(G8&gt;=2,"High",IF(G8=1,"Medium","Low")))</f>
        <v>Medium</v>
      </c>
      <c r="I8" s="5" t="s">
        <v>32</v>
      </c>
      <c r="J8" s="5" t="s">
        <v>18</v>
      </c>
    </row>
    <row r="9" customFormat="false" ht="46.25" hidden="false" customHeight="false" outlineLevel="0" collapsed="false">
      <c r="A9" s="4" t="s">
        <v>13</v>
      </c>
      <c r="B9" s="5" t="s">
        <v>33</v>
      </c>
      <c r="C9" s="5" t="s">
        <v>34</v>
      </c>
      <c r="D9" s="5" t="s">
        <v>35</v>
      </c>
      <c r="E9" s="5" t="n">
        <v>2</v>
      </c>
      <c r="F9" s="5" t="n">
        <v>3</v>
      </c>
      <c r="G9" s="6" t="n">
        <f aca="false">IF(OR(E9="",F9=""),"",F9-E9)</f>
        <v>1</v>
      </c>
      <c r="H9" s="7" t="str">
        <f aca="false">IF(G9="","",IF(G9&gt;=2,"High",IF(G9=1,"Medium","Low")))</f>
        <v>Medium</v>
      </c>
      <c r="I9" s="5" t="s">
        <v>36</v>
      </c>
      <c r="J9" s="5" t="s">
        <v>23</v>
      </c>
    </row>
    <row r="10" customFormat="false" ht="35.05" hidden="false" customHeight="false" outlineLevel="0" collapsed="false">
      <c r="A10" s="4" t="s">
        <v>13</v>
      </c>
      <c r="B10" s="5" t="s">
        <v>37</v>
      </c>
      <c r="C10" s="5" t="s">
        <v>38</v>
      </c>
      <c r="D10" s="5" t="s">
        <v>39</v>
      </c>
      <c r="E10" s="5" t="n">
        <v>2</v>
      </c>
      <c r="F10" s="5" t="n">
        <v>4</v>
      </c>
      <c r="G10" s="6" t="n">
        <f aca="false">IF(OR(E10="",F10=""),"",F10-E10)</f>
        <v>2</v>
      </c>
      <c r="H10" s="7" t="str">
        <f aca="false">IF(G10="","",IF(G10&gt;=2,"High",IF(G10=1,"Medium","Low")))</f>
        <v>High</v>
      </c>
      <c r="I10" s="5" t="s">
        <v>40</v>
      </c>
      <c r="J10" s="5" t="s">
        <v>41</v>
      </c>
    </row>
    <row r="11" customFormat="false" ht="35.05" hidden="false" customHeight="false" outlineLevel="0" collapsed="false">
      <c r="A11" s="8" t="s">
        <v>42</v>
      </c>
      <c r="B11" s="5" t="s">
        <v>43</v>
      </c>
      <c r="C11" s="5" t="s">
        <v>44</v>
      </c>
      <c r="D11" s="5" t="s">
        <v>45</v>
      </c>
      <c r="E11" s="5" t="n">
        <v>3</v>
      </c>
      <c r="F11" s="5" t="n">
        <v>4</v>
      </c>
      <c r="G11" s="6" t="n">
        <f aca="false">IF(OR(E11="",F11=""),"",F11-E11)</f>
        <v>1</v>
      </c>
      <c r="H11" s="7" t="str">
        <f aca="false">IF(G11="","",IF(G11&gt;=2,"High",IF(G11=1,"Medium","Low")))</f>
        <v>Medium</v>
      </c>
      <c r="I11" s="5" t="s">
        <v>46</v>
      </c>
      <c r="J11" s="5" t="s">
        <v>47</v>
      </c>
    </row>
    <row r="12" customFormat="false" ht="26.85" hidden="false" customHeight="false" outlineLevel="0" collapsed="false">
      <c r="A12" s="8" t="s">
        <v>42</v>
      </c>
      <c r="B12" s="5" t="s">
        <v>48</v>
      </c>
      <c r="C12" s="5" t="s">
        <v>49</v>
      </c>
      <c r="D12" s="5" t="s">
        <v>50</v>
      </c>
      <c r="E12" s="5" t="n">
        <v>3</v>
      </c>
      <c r="F12" s="5" t="n">
        <v>4</v>
      </c>
      <c r="G12" s="6" t="n">
        <f aca="false">IF(OR(E12="",F12=""),"",F12-E12)</f>
        <v>1</v>
      </c>
      <c r="H12" s="7" t="str">
        <f aca="false">IF(G12="","",IF(G12&gt;=2,"High",IF(G12=1,"Medium","Low")))</f>
        <v>Medium</v>
      </c>
      <c r="I12" s="5" t="s">
        <v>51</v>
      </c>
      <c r="J12" s="5" t="s">
        <v>52</v>
      </c>
    </row>
    <row r="13" customFormat="false" ht="46.25" hidden="false" customHeight="false" outlineLevel="0" collapsed="false">
      <c r="A13" s="8" t="s">
        <v>42</v>
      </c>
      <c r="B13" s="5" t="s">
        <v>53</v>
      </c>
      <c r="C13" s="5" t="s">
        <v>54</v>
      </c>
      <c r="D13" s="5" t="s">
        <v>55</v>
      </c>
      <c r="E13" s="5" t="n">
        <v>2</v>
      </c>
      <c r="F13" s="5" t="n">
        <v>3</v>
      </c>
      <c r="G13" s="6" t="n">
        <f aca="false">IF(OR(E13="",F13=""),"",F13-E13)</f>
        <v>1</v>
      </c>
      <c r="H13" s="7" t="str">
        <f aca="false">IF(G13="","",IF(G13&gt;=2,"High",IF(G13=1,"Medium","Low")))</f>
        <v>Medium</v>
      </c>
      <c r="I13" s="5" t="s">
        <v>56</v>
      </c>
      <c r="J13" s="5" t="s">
        <v>23</v>
      </c>
    </row>
    <row r="14" customFormat="false" ht="35.05" hidden="false" customHeight="false" outlineLevel="0" collapsed="false">
      <c r="A14" s="9" t="s">
        <v>57</v>
      </c>
      <c r="B14" s="5" t="s">
        <v>58</v>
      </c>
      <c r="C14" s="5" t="s">
        <v>59</v>
      </c>
      <c r="D14" s="5" t="s">
        <v>60</v>
      </c>
      <c r="E14" s="5" t="n">
        <v>2</v>
      </c>
      <c r="F14" s="5" t="n">
        <v>4</v>
      </c>
      <c r="G14" s="6" t="n">
        <f aca="false">IF(OR(E14="",F14=""),"",F14-E14)</f>
        <v>2</v>
      </c>
      <c r="H14" s="7" t="str">
        <f aca="false">IF(G14="","",IF(G14&gt;=2,"High",IF(G14=1,"Medium","Low")))</f>
        <v>High</v>
      </c>
      <c r="I14" s="5" t="s">
        <v>61</v>
      </c>
      <c r="J14" s="5" t="s">
        <v>62</v>
      </c>
    </row>
    <row r="15" customFormat="false" ht="26.85" hidden="false" customHeight="false" outlineLevel="0" collapsed="false">
      <c r="A15" s="9" t="s">
        <v>57</v>
      </c>
      <c r="B15" s="5" t="s">
        <v>63</v>
      </c>
      <c r="C15" s="5" t="s">
        <v>64</v>
      </c>
      <c r="D15" s="5" t="s">
        <v>65</v>
      </c>
      <c r="E15" s="5" t="n">
        <v>3</v>
      </c>
      <c r="F15" s="5" t="n">
        <v>4</v>
      </c>
      <c r="G15" s="6" t="n">
        <f aca="false">IF(OR(E15="",F15=""),"",F15-E15)</f>
        <v>1</v>
      </c>
      <c r="H15" s="7" t="str">
        <f aca="false">IF(G15="","",IF(G15&gt;=2,"High",IF(G15=1,"Medium","Low")))</f>
        <v>Medium</v>
      </c>
      <c r="I15" s="5" t="s">
        <v>66</v>
      </c>
      <c r="J15" s="5" t="s">
        <v>67</v>
      </c>
    </row>
    <row r="16" customFormat="false" ht="35.05" hidden="false" customHeight="false" outlineLevel="0" collapsed="false">
      <c r="A16" s="9" t="s">
        <v>57</v>
      </c>
      <c r="B16" s="5" t="s">
        <v>68</v>
      </c>
      <c r="C16" s="5" t="s">
        <v>69</v>
      </c>
      <c r="D16" s="5" t="s">
        <v>70</v>
      </c>
      <c r="E16" s="5" t="n">
        <v>2</v>
      </c>
      <c r="F16" s="5" t="n">
        <v>4</v>
      </c>
      <c r="G16" s="6" t="n">
        <f aca="false">IF(OR(E16="",F16=""),"",F16-E16)</f>
        <v>2</v>
      </c>
      <c r="H16" s="7" t="str">
        <f aca="false">IF(G16="","",IF(G16&gt;=2,"High",IF(G16=1,"Medium","Low")))</f>
        <v>High</v>
      </c>
      <c r="I16" s="5" t="s">
        <v>71</v>
      </c>
      <c r="J16" s="5" t="s">
        <v>72</v>
      </c>
    </row>
    <row r="17" customFormat="false" ht="35.05" hidden="false" customHeight="false" outlineLevel="0" collapsed="false">
      <c r="A17" s="9" t="s">
        <v>57</v>
      </c>
      <c r="B17" s="5" t="s">
        <v>73</v>
      </c>
      <c r="C17" s="5" t="s">
        <v>74</v>
      </c>
      <c r="D17" s="5" t="s">
        <v>75</v>
      </c>
      <c r="E17" s="5" t="n">
        <v>3</v>
      </c>
      <c r="F17" s="5" t="n">
        <v>4</v>
      </c>
      <c r="G17" s="6" t="n">
        <f aca="false">IF(OR(E17="",F17=""),"",F17-E17)</f>
        <v>1</v>
      </c>
      <c r="H17" s="7" t="str">
        <f aca="false">IF(G17="","",IF(G17&gt;=2,"High",IF(G17=1,"Medium","Low")))</f>
        <v>Medium</v>
      </c>
      <c r="I17" s="5" t="s">
        <v>76</v>
      </c>
      <c r="J17" s="5" t="s">
        <v>77</v>
      </c>
    </row>
    <row r="18" customFormat="false" ht="35.05" hidden="false" customHeight="false" outlineLevel="0" collapsed="false">
      <c r="A18" s="9" t="s">
        <v>57</v>
      </c>
      <c r="B18" s="5" t="s">
        <v>78</v>
      </c>
      <c r="C18" s="5" t="s">
        <v>79</v>
      </c>
      <c r="D18" s="5" t="s">
        <v>80</v>
      </c>
      <c r="E18" s="5" t="n">
        <v>2</v>
      </c>
      <c r="F18" s="5" t="n">
        <v>3</v>
      </c>
      <c r="G18" s="6" t="n">
        <f aca="false">IF(OR(E18="",F18=""),"",F18-E18)</f>
        <v>1</v>
      </c>
      <c r="H18" s="7" t="str">
        <f aca="false">IF(G18="","",IF(G18&gt;=2,"High",IF(G18=1,"Medium","Low")))</f>
        <v>Medium</v>
      </c>
      <c r="I18" s="5" t="s">
        <v>81</v>
      </c>
      <c r="J18" s="5" t="s">
        <v>82</v>
      </c>
    </row>
    <row r="19" customFormat="false" ht="35.05" hidden="false" customHeight="false" outlineLevel="0" collapsed="false">
      <c r="A19" s="10" t="s">
        <v>83</v>
      </c>
      <c r="B19" s="5" t="s">
        <v>84</v>
      </c>
      <c r="C19" s="5" t="s">
        <v>85</v>
      </c>
      <c r="D19" s="5" t="s">
        <v>86</v>
      </c>
      <c r="E19" s="5" t="n">
        <v>3</v>
      </c>
      <c r="F19" s="5" t="n">
        <v>4</v>
      </c>
      <c r="G19" s="6" t="n">
        <f aca="false">IF(OR(E19="",F19=""),"",F19-E19)</f>
        <v>1</v>
      </c>
      <c r="H19" s="7" t="str">
        <f aca="false">IF(G19="","",IF(G19&gt;=2,"High",IF(G19=1,"Medium","Low")))</f>
        <v>Medium</v>
      </c>
      <c r="I19" s="5" t="s">
        <v>87</v>
      </c>
      <c r="J19" s="5" t="s">
        <v>88</v>
      </c>
    </row>
    <row r="20" customFormat="false" ht="46.25" hidden="false" customHeight="false" outlineLevel="0" collapsed="false">
      <c r="A20" s="10" t="s">
        <v>83</v>
      </c>
      <c r="B20" s="5" t="s">
        <v>89</v>
      </c>
      <c r="C20" s="5" t="s">
        <v>90</v>
      </c>
      <c r="D20" s="5" t="s">
        <v>91</v>
      </c>
      <c r="E20" s="5" t="n">
        <v>3</v>
      </c>
      <c r="F20" s="5" t="n">
        <v>3</v>
      </c>
      <c r="G20" s="6" t="n">
        <f aca="false">IF(OR(E20="",F20=""),"",F20-E20)</f>
        <v>0</v>
      </c>
      <c r="H20" s="7" t="str">
        <f aca="false">IF(G20="","",IF(G20&gt;=2,"High",IF(G20=1,"Medium","Low")))</f>
        <v>Low</v>
      </c>
      <c r="I20" s="5" t="s">
        <v>92</v>
      </c>
      <c r="J20" s="5" t="s">
        <v>88</v>
      </c>
    </row>
    <row r="21" customFormat="false" ht="26.85" hidden="false" customHeight="false" outlineLevel="0" collapsed="false">
      <c r="A21" s="11" t="s">
        <v>93</v>
      </c>
      <c r="B21" s="5" t="s">
        <v>94</v>
      </c>
      <c r="C21" s="5" t="s">
        <v>95</v>
      </c>
      <c r="D21" s="5" t="s">
        <v>96</v>
      </c>
      <c r="E21" s="5" t="n">
        <v>3</v>
      </c>
      <c r="F21" s="5" t="n">
        <v>4</v>
      </c>
      <c r="G21" s="6" t="n">
        <f aca="false">IF(OR(E21="",F21=""),"",F21-E21)</f>
        <v>1</v>
      </c>
      <c r="H21" s="7" t="str">
        <f aca="false">IF(G21="","",IF(G21&gt;=2,"High",IF(G21=1,"Medium","Low")))</f>
        <v>Medium</v>
      </c>
      <c r="I21" s="5" t="s">
        <v>97</v>
      </c>
      <c r="J21" s="5" t="s">
        <v>98</v>
      </c>
    </row>
    <row r="22" customFormat="false" ht="35.05" hidden="false" customHeight="false" outlineLevel="0" collapsed="false">
      <c r="A22" s="11" t="s">
        <v>93</v>
      </c>
      <c r="B22" s="5" t="s">
        <v>99</v>
      </c>
      <c r="C22" s="5" t="s">
        <v>100</v>
      </c>
      <c r="D22" s="5" t="s">
        <v>101</v>
      </c>
      <c r="E22" s="5" t="n">
        <v>2</v>
      </c>
      <c r="F22" s="5" t="n">
        <v>4</v>
      </c>
      <c r="G22" s="6" t="n">
        <f aca="false">IF(OR(E22="",F22=""),"",F22-E22)</f>
        <v>2</v>
      </c>
      <c r="H22" s="7" t="str">
        <f aca="false">IF(G22="","",IF(G22&gt;=2,"High",IF(G22=1,"Medium","Low")))</f>
        <v>High</v>
      </c>
      <c r="I22" s="5" t="s">
        <v>102</v>
      </c>
      <c r="J22" s="5" t="s">
        <v>18</v>
      </c>
    </row>
    <row r="23" customFormat="false" ht="46.25" hidden="false" customHeight="false" outlineLevel="0" collapsed="false">
      <c r="A23" s="12" t="s">
        <v>103</v>
      </c>
      <c r="B23" s="5" t="s">
        <v>104</v>
      </c>
      <c r="C23" s="5" t="s">
        <v>105</v>
      </c>
      <c r="D23" s="5" t="s">
        <v>106</v>
      </c>
      <c r="E23" s="5" t="n">
        <v>2</v>
      </c>
      <c r="F23" s="5" t="n">
        <v>4</v>
      </c>
      <c r="G23" s="6" t="n">
        <f aca="false">IF(OR(E23="",F23=""),"",F23-E23)</f>
        <v>2</v>
      </c>
      <c r="H23" s="7" t="str">
        <f aca="false">IF(G23="","",IF(G23&gt;=2,"High",IF(G23=1,"Medium","Low")))</f>
        <v>High</v>
      </c>
      <c r="I23" s="5" t="s">
        <v>107</v>
      </c>
      <c r="J23" s="5" t="s">
        <v>82</v>
      </c>
    </row>
    <row r="24" customFormat="false" ht="26.85" hidden="false" customHeight="false" outlineLevel="0" collapsed="false">
      <c r="A24" s="12" t="s">
        <v>103</v>
      </c>
      <c r="B24" s="5" t="s">
        <v>108</v>
      </c>
      <c r="C24" s="5" t="s">
        <v>109</v>
      </c>
      <c r="D24" s="5" t="s">
        <v>110</v>
      </c>
      <c r="E24" s="5" t="n">
        <v>3</v>
      </c>
      <c r="F24" s="5" t="n">
        <v>3</v>
      </c>
      <c r="G24" s="6" t="n">
        <f aca="false">IF(OR(E24="",F24=""),"",F24-E24)</f>
        <v>0</v>
      </c>
      <c r="H24" s="7" t="str">
        <f aca="false">IF(G24="","",IF(G24&gt;=2,"High",IF(G24=1,"Medium","Low")))</f>
        <v>Low</v>
      </c>
      <c r="I24" s="5" t="s">
        <v>111</v>
      </c>
      <c r="J24" s="5" t="s">
        <v>112</v>
      </c>
    </row>
  </sheetData>
  <mergeCells count="2">
    <mergeCell ref="A1:K1"/>
    <mergeCell ref="A2:K2"/>
  </mergeCells>
  <conditionalFormatting sqref="H5:H24">
    <cfRule type="expression" priority="2" aboveAverage="0" equalAverage="0" bottom="0" percent="0" rank="0" text="" dxfId="0">
      <formula>H5="High"</formula>
    </cfRule>
    <cfRule type="expression" priority="3" aboveAverage="0" equalAverage="0" bottom="0" percent="0" rank="0" text="" dxfId="1">
      <formula>H5="Medium"</formula>
    </cfRule>
    <cfRule type="expression" priority="4" aboveAverage="0" equalAverage="0" bottom="0" percent="0" rank="0" text="" dxfId="2">
      <formula>H5="Low"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20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13" t="s">
        <v>113</v>
      </c>
    </row>
    <row r="3" customFormat="false" ht="23.85" hidden="false" customHeight="false" outlineLevel="0" collapsed="false">
      <c r="A3" s="14" t="s">
        <v>2</v>
      </c>
      <c r="B3" s="14" t="s">
        <v>114</v>
      </c>
      <c r="C3" s="14" t="s">
        <v>115</v>
      </c>
      <c r="D3" s="14" t="s">
        <v>116</v>
      </c>
      <c r="E3" s="14" t="s">
        <v>117</v>
      </c>
    </row>
    <row r="4" customFormat="false" ht="15" hidden="false" customHeight="false" outlineLevel="0" collapsed="false">
      <c r="A4" s="15" t="s">
        <v>13</v>
      </c>
      <c r="B4" s="16" t="n">
        <f aca="false">COUNTIF('NIST CSF 2.0 Gap Assessment'!$A$5:$A$24,A4)</f>
        <v>6</v>
      </c>
      <c r="C4" s="17" t="n">
        <f aca="false">IFERROR(AVERAGEIF('NIST CSF 2.0 Gap Assessment'!$A$5:$A$24,A4,'NIST CSF 2.0 Gap Assessment'!$E$5:$E$24),"")</f>
        <v>2.4</v>
      </c>
      <c r="D4" s="17" t="n">
        <f aca="false">IFERROR(AVERAGEIF('NIST CSF 2.0 Gap Assessment'!$A$5:$A$24,A4,'NIST CSF 2.0 Gap Assessment'!$F$5:$F$24),"")</f>
        <v>3.8</v>
      </c>
      <c r="E4" s="17" t="n">
        <f aca="false">IF(OR(C4="",D4=""),"",D4-C4)</f>
        <v>1.4</v>
      </c>
    </row>
    <row r="5" customFormat="false" ht="15" hidden="false" customHeight="false" outlineLevel="0" collapsed="false">
      <c r="A5" s="18" t="s">
        <v>42</v>
      </c>
      <c r="B5" s="16" t="n">
        <f aca="false">COUNTIF('NIST CSF 2.0 Gap Assessment'!$A$5:$A$24,A5)</f>
        <v>3</v>
      </c>
      <c r="C5" s="17" t="n">
        <f aca="false">IFERROR(AVERAGEIF('NIST CSF 2.0 Gap Assessment'!$A$5:$A$24,A5,'NIST CSF 2.0 Gap Assessment'!$E$5:$E$24),"")</f>
        <v>2.66666666666667</v>
      </c>
      <c r="D5" s="17" t="n">
        <f aca="false">IFERROR(AVERAGEIF('NIST CSF 2.0 Gap Assessment'!$A$5:$A$24,A5,'NIST CSF 2.0 Gap Assessment'!$F$5:$F$24),"")</f>
        <v>3.66666666666667</v>
      </c>
      <c r="E5" s="17" t="n">
        <f aca="false">IF(OR(C5="",D5=""),"",D5-C5)</f>
        <v>1</v>
      </c>
    </row>
    <row r="6" customFormat="false" ht="15" hidden="false" customHeight="false" outlineLevel="0" collapsed="false">
      <c r="A6" s="19" t="s">
        <v>57</v>
      </c>
      <c r="B6" s="16" t="n">
        <f aca="false">COUNTIF('NIST CSF 2.0 Gap Assessment'!$A$5:$A$24,A6)</f>
        <v>5</v>
      </c>
      <c r="C6" s="17" t="n">
        <f aca="false">IFERROR(AVERAGEIF('NIST CSF 2.0 Gap Assessment'!$A$5:$A$24,A6,'NIST CSF 2.0 Gap Assessment'!$E$5:$E$24),"")</f>
        <v>2.4</v>
      </c>
      <c r="D6" s="17" t="n">
        <f aca="false">IFERROR(AVERAGEIF('NIST CSF 2.0 Gap Assessment'!$A$5:$A$24,A6,'NIST CSF 2.0 Gap Assessment'!$F$5:$F$24),"")</f>
        <v>3.8</v>
      </c>
      <c r="E6" s="17" t="n">
        <f aca="false">IF(OR(C6="",D6=""),"",D6-C6)</f>
        <v>1.4</v>
      </c>
    </row>
    <row r="7" customFormat="false" ht="15" hidden="false" customHeight="false" outlineLevel="0" collapsed="false">
      <c r="A7" s="20" t="s">
        <v>83</v>
      </c>
      <c r="B7" s="16" t="n">
        <f aca="false">COUNTIF('NIST CSF 2.0 Gap Assessment'!$A$5:$A$24,A7)</f>
        <v>2</v>
      </c>
      <c r="C7" s="17" t="n">
        <f aca="false">IFERROR(AVERAGEIF('NIST CSF 2.0 Gap Assessment'!$A$5:$A$24,A7,'NIST CSF 2.0 Gap Assessment'!$E$5:$E$24),"")</f>
        <v>3</v>
      </c>
      <c r="D7" s="17" t="n">
        <f aca="false">IFERROR(AVERAGEIF('NIST CSF 2.0 Gap Assessment'!$A$5:$A$24,A7,'NIST CSF 2.0 Gap Assessment'!$F$5:$F$24),"")</f>
        <v>3.5</v>
      </c>
      <c r="E7" s="17" t="n">
        <f aca="false">IF(OR(C7="",D7=""),"",D7-C7)</f>
        <v>0.5</v>
      </c>
    </row>
    <row r="8" customFormat="false" ht="15" hidden="false" customHeight="false" outlineLevel="0" collapsed="false">
      <c r="A8" s="21" t="s">
        <v>93</v>
      </c>
      <c r="B8" s="16" t="n">
        <f aca="false">COUNTIF('NIST CSF 2.0 Gap Assessment'!$A$5:$A$24,A8)</f>
        <v>2</v>
      </c>
      <c r="C8" s="17" t="n">
        <f aca="false">IFERROR(AVERAGEIF('NIST CSF 2.0 Gap Assessment'!$A$5:$A$24,A8,'NIST CSF 2.0 Gap Assessment'!$E$5:$E$24),"")</f>
        <v>2.5</v>
      </c>
      <c r="D8" s="17" t="n">
        <f aca="false">IFERROR(AVERAGEIF('NIST CSF 2.0 Gap Assessment'!$A$5:$A$24,A8,'NIST CSF 2.0 Gap Assessment'!$F$5:$F$24),"")</f>
        <v>4</v>
      </c>
      <c r="E8" s="17" t="n">
        <f aca="false">IF(OR(C8="",D8=""),"",D8-C8)</f>
        <v>1.5</v>
      </c>
    </row>
    <row r="9" customFormat="false" ht="15" hidden="false" customHeight="false" outlineLevel="0" collapsed="false">
      <c r="A9" s="22" t="s">
        <v>103</v>
      </c>
      <c r="B9" s="16" t="n">
        <f aca="false">COUNTIF('NIST CSF 2.0 Gap Assessment'!$A$5:$A$24,A9)</f>
        <v>2</v>
      </c>
      <c r="C9" s="17" t="n">
        <f aca="false">IFERROR(AVERAGEIF('NIST CSF 2.0 Gap Assessment'!$A$5:$A$24,A9,'NIST CSF 2.0 Gap Assessment'!$E$5:$E$24),"")</f>
        <v>2.5</v>
      </c>
      <c r="D9" s="17" t="n">
        <f aca="false">IFERROR(AVERAGEIF('NIST CSF 2.0 Gap Assessment'!$A$5:$A$24,A9,'NIST CSF 2.0 Gap Assessment'!$F$5:$F$24),"")</f>
        <v>3.5</v>
      </c>
      <c r="E9" s="17" t="n">
        <f aca="false">IF(OR(C9="",D9=""),"",D9-C9)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3" t="s">
        <v>118</v>
      </c>
    </row>
    <row r="2" customFormat="false" ht="15" hidden="false" customHeight="false" outlineLevel="0" collapsed="false">
      <c r="A2" s="23" t="s">
        <v>119</v>
      </c>
      <c r="B2" s="24" t="s">
        <v>120</v>
      </c>
    </row>
    <row r="3" customFormat="false" ht="23.85" hidden="false" customHeight="false" outlineLevel="0" collapsed="false">
      <c r="A3" s="23" t="s">
        <v>121</v>
      </c>
      <c r="B3" s="24" t="s">
        <v>122</v>
      </c>
    </row>
    <row r="4" customFormat="false" ht="15" hidden="false" customHeight="false" outlineLevel="0" collapsed="false">
      <c r="A4" s="23" t="s">
        <v>8</v>
      </c>
      <c r="B4" s="24" t="s">
        <v>123</v>
      </c>
    </row>
    <row r="5" customFormat="false" ht="15" hidden="false" customHeight="false" outlineLevel="0" collapsed="false">
      <c r="A5" s="23" t="s">
        <v>9</v>
      </c>
      <c r="B5" s="24" t="s">
        <v>124</v>
      </c>
    </row>
    <row r="6" customFormat="false" ht="23.85" hidden="false" customHeight="false" outlineLevel="0" collapsed="false">
      <c r="A6" s="23" t="s">
        <v>125</v>
      </c>
      <c r="B6" s="24" t="s">
        <v>126</v>
      </c>
    </row>
    <row r="7" customFormat="false" ht="15" hidden="false" customHeight="false" outlineLevel="0" collapsed="false">
      <c r="A7" s="23" t="s">
        <v>127</v>
      </c>
      <c r="B7" s="24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2026-08-13T08:45:03Z</dcterms:created>
  <dc:creator>openpyxl</dc:creator>
  <dc:description/>
  <dc:language>en-US</dc:language>
  <cp:lastModifiedBy/>
  <dcterms:modified xsi:type="dcterms:W3CDTF">2026-08-13T08:45:03Z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