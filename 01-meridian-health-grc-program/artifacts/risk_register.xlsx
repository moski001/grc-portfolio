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Legend &amp; Methodolog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<sst xmlns="http://schemas.openxmlformats.org/spreadsheetml/2006/main" count="240" uniqueCount="205">
  <si>
    <t xml:space="preserve">MERIDIAN HEALTH ANALYTICS, INC. — ENTERPRISE RISK REGISTER</t>
  </si>
  <si>
    <t xml:space="preserve">Sample GRC portfolio artifact | Fictional company | Prepared by Chris Morrissey | Review cycle: Quarterly</t>
  </si>
  <si>
    <t xml:space="preserve">Risk ID</t>
  </si>
  <si>
    <t xml:space="preserve">Date Identified</t>
  </si>
  <si>
    <t xml:space="preserve">Risk Category</t>
  </si>
  <si>
    <t xml:space="preserve">Risk Description</t>
  </si>
  <si>
    <t xml:space="preserve">Asset / Process Affected</t>
  </si>
  <si>
    <t xml:space="preserve">Threat Source</t>
  </si>
  <si>
    <t xml:space="preserve">Vulnerability</t>
  </si>
  <si>
    <t xml:space="preserve">Inherent Likelihood (1-5)</t>
  </si>
  <si>
    <t xml:space="preserve">Inherent Impact (1-5)</t>
  </si>
  <si>
    <t xml:space="preserve">Inherent Risk Score</t>
  </si>
  <si>
    <t xml:space="preserve">Inherent Risk Level</t>
  </si>
  <si>
    <t xml:space="preserve">Existing Controls</t>
  </si>
  <si>
    <t xml:space="preserve">Control Effectiveness (1-5)</t>
  </si>
  <si>
    <t xml:space="preserve">Residual Likelihood (1-5)</t>
  </si>
  <si>
    <t xml:space="preserve">Residual Impact (1-5)</t>
  </si>
  <si>
    <t xml:space="preserve">Residual Risk Score</t>
  </si>
  <si>
    <t xml:space="preserve">Residual Risk Level</t>
  </si>
  <si>
    <t xml:space="preserve">Risk Treatment</t>
  </si>
  <si>
    <t xml:space="preserve">Treatment Plan / Next Actions</t>
  </si>
  <si>
    <t xml:space="preserve">Risk Owner</t>
  </si>
  <si>
    <t xml:space="preserve">Target Remediation Date</t>
  </si>
  <si>
    <t xml:space="preserve">Status</t>
  </si>
  <si>
    <t xml:space="preserve">R-001</t>
  </si>
  <si>
    <t xml:space="preserve">2026-01-08</t>
  </si>
  <si>
    <t xml:space="preserve">Data Protection</t>
  </si>
  <si>
    <t xml:space="preserve">Unencrypted PHI backups stored in legacy on-prem NAS accessible to broader IT staff than required</t>
  </si>
  <si>
    <t xml:space="preserve">Patient claims data warehouse</t>
  </si>
  <si>
    <t xml:space="preserve">External attacker / Malicious insider</t>
  </si>
  <si>
    <t xml:space="preserve">Backup volumes not encrypted at rest; excessive access group membership</t>
  </si>
  <si>
    <t xml:space="preserve">Encrypted nightly backups migrated to AWS S3 with SSE-KMS; access restricted to 3-person backup admin group</t>
  </si>
  <si>
    <t xml:space="preserve">Mitigate</t>
  </si>
  <si>
    <t xml:space="preserve">Complete migration to encrypted cloud backup by Q2; decommission legacy NAS; run access recertification</t>
  </si>
  <si>
    <t xml:space="preserve">VP Infrastructure</t>
  </si>
  <si>
    <t xml:space="preserve">2026-05-15</t>
  </si>
  <si>
    <t xml:space="preserve">In Progress</t>
  </si>
  <si>
    <t xml:space="preserve">R-002</t>
  </si>
  <si>
    <t xml:space="preserve">Access Control</t>
  </si>
  <si>
    <t xml:space="preserve">Shared service account used by three ETL pipelines with standing admin privileges to production database</t>
  </si>
  <si>
    <t xml:space="preserve">Production PHI database</t>
  </si>
  <si>
    <t xml:space="preserve">Insider threat / Credential compromise</t>
  </si>
  <si>
    <t xml:space="preserve">No individual accountability; standing privileged access; password not rotated</t>
  </si>
  <si>
    <t xml:space="preserve">Service account rotated quarterly; database activity logging enabled</t>
  </si>
  <si>
    <t xml:space="preserve">Migrate ETL to IAM role-based auth (no static creds); implement just-in-time privileged access via PAM tool</t>
  </si>
  <si>
    <t xml:space="preserve">Director of Engineering</t>
  </si>
  <si>
    <t xml:space="preserve">2026-04-30</t>
  </si>
  <si>
    <t xml:space="preserve">R-003</t>
  </si>
  <si>
    <t xml:space="preserve">2026-01-15</t>
  </si>
  <si>
    <t xml:space="preserve">Third-Party / Vendor</t>
  </si>
  <si>
    <t xml:space="preserve">Claims clearinghouse vendor (ClaimLink Corp) has not provided a current SOC 2 Type II report</t>
  </si>
  <si>
    <t xml:space="preserve">Eligibility verification workflow</t>
  </si>
  <si>
    <t xml:space="preserve">Vendor breach / Supply chain compromise</t>
  </si>
  <si>
    <t xml:space="preserve">No independent assurance of vendor control environment in past 18 months</t>
  </si>
  <si>
    <t xml:space="preserve">Vendor contract includes data protection addendum; annual security questionnaire on file</t>
  </si>
  <si>
    <t xml:space="preserve">Escalate to procurement; request updated SOC 2 Type II or bridge letter; evaluate alternate vendor if unresolved by contract renewal</t>
  </si>
  <si>
    <t xml:space="preserve">Vendor Risk Manager</t>
  </si>
  <si>
    <t xml:space="preserve">2026-03-31</t>
  </si>
  <si>
    <t xml:space="preserve">Open</t>
  </si>
  <si>
    <t xml:space="preserve">R-004</t>
  </si>
  <si>
    <t xml:space="preserve">2026-01-20</t>
  </si>
  <si>
    <t xml:space="preserve">Business Continuity</t>
  </si>
  <si>
    <t xml:space="preserve">Single AWS region deployment with no tested failover for claims processing platform</t>
  </si>
  <si>
    <t xml:space="preserve">Claims processing application (us-east-1)</t>
  </si>
  <si>
    <t xml:space="preserve">Regional outage / Natural disaster</t>
  </si>
  <si>
    <t xml:space="preserve">No multi-region redundancy; DR runbook untested in 14 months</t>
  </si>
  <si>
    <t xml:space="preserve">Daily automated snapshots; documented (but untested) DR runbook</t>
  </si>
  <si>
    <t xml:space="preserve">Stand up warm standby in us-west-2; conduct tabletop DR exercise; update BIA recovery time objectives</t>
  </si>
  <si>
    <t xml:space="preserve">Director of Infrastructure</t>
  </si>
  <si>
    <t xml:space="preserve">2026-06-30</t>
  </si>
  <si>
    <t xml:space="preserve">R-005</t>
  </si>
  <si>
    <t xml:space="preserve">2026-01-22</t>
  </si>
  <si>
    <t xml:space="preserve">Application Security</t>
  </si>
  <si>
    <t xml:space="preserve">Customer-facing patient portal has not undergone penetration testing since acquisition of PortalWorks platform</t>
  </si>
  <si>
    <t xml:space="preserve">Patient self-service portal</t>
  </si>
  <si>
    <t xml:space="preserve">External attacker</t>
  </si>
  <si>
    <t xml:space="preserve">Unknown vulnerability posture on acquired codebase</t>
  </si>
  <si>
    <t xml:space="preserve">WAF in front of portal; automated SAST scanning in CI pipeline</t>
  </si>
  <si>
    <t xml:space="preserve">Commission third-party penetration test; remediate critical/high findings before next release</t>
  </si>
  <si>
    <t xml:space="preserve">AppSec Lead</t>
  </si>
  <si>
    <t xml:space="preserve">2026-03-15</t>
  </si>
  <si>
    <t xml:space="preserve">R-006</t>
  </si>
  <si>
    <t xml:space="preserve">2026-02-02</t>
  </si>
  <si>
    <t xml:space="preserve">Insider Threat</t>
  </si>
  <si>
    <t xml:space="preserve">Departed employees' access not consistently deprovisioned within policy SLA (24 hours)</t>
  </si>
  <si>
    <t xml:space="preserve">All SaaS applications (Okta-federated)</t>
  </si>
  <si>
    <t xml:space="preserve">Malicious/negligent former employee</t>
  </si>
  <si>
    <t xml:space="preserve">Manual offboarding checklist; no automated SSO deprovisioning trigger</t>
  </si>
  <si>
    <t xml:space="preserve">HR ticketing triggers manual IT offboarding task; monthly access audit</t>
  </si>
  <si>
    <t xml:space="preserve">Automate deprovisioning via Okta Lifecycle Management tied to HRIS termination event</t>
  </si>
  <si>
    <t xml:space="preserve">IAM Manager</t>
  </si>
  <si>
    <t xml:space="preserve">2026-04-15</t>
  </si>
  <si>
    <t xml:space="preserve">R-007</t>
  </si>
  <si>
    <t xml:space="preserve">2026-02-05</t>
  </si>
  <si>
    <t xml:space="preserve">Compliance / Regulatory</t>
  </si>
  <si>
    <t xml:space="preserve">Business Associate Agreements (BAAs) not on file for 2 of 11 active subcontractors handling PHI</t>
  </si>
  <si>
    <t xml:space="preserve">Vendor management program</t>
  </si>
  <si>
    <t xml:space="preserve">Regulatory (HHS OCR)</t>
  </si>
  <si>
    <t xml:space="preserve">Contract lifecycle gap; no centralized BAA tracking system</t>
  </si>
  <si>
    <t xml:space="preserve">Legal review required before vendor onboarding (policy exists, enforcement inconsistent)</t>
  </si>
  <si>
    <t xml:space="preserve">Build centralized BAA tracker; obtain missing BAAs within 30 days; add BAA checkpoint to procurement workflow</t>
  </si>
  <si>
    <t xml:space="preserve">Compliance Officer</t>
  </si>
  <si>
    <t xml:space="preserve">2026-03-10</t>
  </si>
  <si>
    <t xml:space="preserve">R-008</t>
  </si>
  <si>
    <t xml:space="preserve">2026-02-10</t>
  </si>
  <si>
    <t xml:space="preserve">Cloud / Infrastructure</t>
  </si>
  <si>
    <t xml:space="preserve">Production AWS S3 buckets identified with overly permissive bucket policies during quarterly config review</t>
  </si>
  <si>
    <t xml:space="preserve">Data lake / analytics staging</t>
  </si>
  <si>
    <t xml:space="preserve">External attacker / Data exposure</t>
  </si>
  <si>
    <t xml:space="preserve">Misconfiguration; no automated guardrail preventing public ACLs</t>
  </si>
  <si>
    <t xml:space="preserve">AWS Config rules deployed post-discovery; buckets remediated same day as found</t>
  </si>
  <si>
    <t xml:space="preserve">Enable AWS Config conformance pack + SCP to block public bucket policies account-wide; add to CI/CD pre-deploy checks</t>
  </si>
  <si>
    <t xml:space="preserve">Cloud Security Engineer</t>
  </si>
  <si>
    <t xml:space="preserve">2026-02-28</t>
  </si>
  <si>
    <t xml:space="preserve">R-009</t>
  </si>
  <si>
    <t xml:space="preserve">2026-02-14</t>
  </si>
  <si>
    <t xml:space="preserve">Physical Security</t>
  </si>
  <si>
    <t xml:space="preserve">Colocation data center badge access logs not reviewed on a recurring schedule</t>
  </si>
  <si>
    <t xml:space="preserve">Legacy colocation facility (non-AWS)</t>
  </si>
  <si>
    <t xml:space="preserve">Unauthorized physical access</t>
  </si>
  <si>
    <t xml:space="preserve">No formal quarterly physical access review process</t>
  </si>
  <si>
    <t xml:space="preserve">Badge system with logging; visitor escort policy</t>
  </si>
  <si>
    <t xml:space="preserve">Accept</t>
  </si>
  <si>
    <t xml:space="preserve">Add colo badge log review to quarterly physical security checklist; low residual risk given facility is being decommissioned in migration plan</t>
  </si>
  <si>
    <t xml:space="preserve">Facilities / Security Manager</t>
  </si>
  <si>
    <t xml:space="preserve">2026-05-01</t>
  </si>
  <si>
    <t xml:space="preserve">R-010</t>
  </si>
  <si>
    <t xml:space="preserve">2026-02-18</t>
  </si>
  <si>
    <t xml:space="preserve">Change Management</t>
  </si>
  <si>
    <t xml:space="preserve">Emergency changes to production billing system bypass standard change advisory board (CAB) review</t>
  </si>
  <si>
    <t xml:space="preserve">Billing and revenue cycle system</t>
  </si>
  <si>
    <t xml:space="preserve">Operational error</t>
  </si>
  <si>
    <t xml:space="preserve">Emergency change process lacks retrospective review requirement</t>
  </si>
  <si>
    <t xml:space="preserve">Emergency changes logged in ticketing system after the fact</t>
  </si>
  <si>
    <t xml:space="preserve">Require mandatory 48-hour post-implementation CAB review for all emergency changes; track in change management KPIs</t>
  </si>
  <si>
    <t xml:space="preserve">IT Change Manager</t>
  </si>
  <si>
    <t xml:space="preserve">2026-04-01</t>
  </si>
  <si>
    <t xml:space="preserve">R-011</t>
  </si>
  <si>
    <t xml:space="preserve">2026-02-20</t>
  </si>
  <si>
    <t xml:space="preserve">Marketing analytics team exports de-identified patient datasets to local laptops for ad-hoc analysis</t>
  </si>
  <si>
    <t xml:space="preserve">Analytics / BI environment</t>
  </si>
  <si>
    <t xml:space="preserve">Data loss / Device theft</t>
  </si>
  <si>
    <t xml:space="preserve">No DLP controls on endpoint; de-identification method not independently validated</t>
  </si>
  <si>
    <t xml:space="preserve">Endpoint encryption (BitLocker/FileVault) enforced via MDM</t>
  </si>
  <si>
    <t xml:space="preserve">Deploy DLP policy restricting bulk export; validate de-identification methodology against Safe Harbor standard; move analysis to governed workspace</t>
  </si>
  <si>
    <t xml:space="preserve">Data Governance Lead</t>
  </si>
  <si>
    <t xml:space="preserve">2026-05-30</t>
  </si>
  <si>
    <t xml:space="preserve">R-012</t>
  </si>
  <si>
    <t xml:space="preserve">2026-02-25</t>
  </si>
  <si>
    <t xml:space="preserve">Payment processor integration relies on deprecated TLS 1.1 fallback for backward compatibility with one legacy client</t>
  </si>
  <si>
    <t xml:space="preserve">Payment gateway integration</t>
  </si>
  <si>
    <t xml:space="preserve">External attacker (protocol downgrade)</t>
  </si>
  <si>
    <t xml:space="preserve">Legacy client dependency delaying TLS 1.1 deprecation</t>
  </si>
  <si>
    <t xml:space="preserve">TLS 1.2+ enforced for 98% of traffic; monitoring on legacy endpoint</t>
  </si>
  <si>
    <t xml:space="preserve">Migrate final legacy client to TLS 1.2 by contract deadline; disable TLS 1.1 fallback entirely</t>
  </si>
  <si>
    <t xml:space="preserve">2026-06-01</t>
  </si>
  <si>
    <t xml:space="preserve">R-013</t>
  </si>
  <si>
    <t xml:space="preserve">2026-03-01</t>
  </si>
  <si>
    <t xml:space="preserve">Human Resources / Security Awareness</t>
  </si>
  <si>
    <t xml:space="preserve">Phishing simulation click rate (14%) exceeds industry benchmark and internal target (5%)</t>
  </si>
  <si>
    <t xml:space="preserve">All employees (email)</t>
  </si>
  <si>
    <t xml:space="preserve">External attacker (phishing/BEC)</t>
  </si>
  <si>
    <t xml:space="preserve">Insufficient security awareness training cadence; no role-based training for high-risk groups</t>
  </si>
  <si>
    <t xml:space="preserve">Annual security awareness training; email banner tagging for external senders</t>
  </si>
  <si>
    <t xml:space="preserve">Move to quarterly phishing simulations; targeted training for finance and HR (BEC-high-risk); track click rate as security KPI</t>
  </si>
  <si>
    <t xml:space="preserve">Security Awareness Lead</t>
  </si>
  <si>
    <t xml:space="preserve">R-014</t>
  </si>
  <si>
    <t xml:space="preserve">2026-03-05</t>
  </si>
  <si>
    <t xml:space="preserve">API rate limiting not enforced on provider directory public API, enabling potential scraping/enumeration</t>
  </si>
  <si>
    <t xml:space="preserve">Provider directory API (public)</t>
  </si>
  <si>
    <t xml:space="preserve">External attacker (data scraping)</t>
  </si>
  <si>
    <t xml:space="preserve">No rate limiting or bot detection at API gateway</t>
  </si>
  <si>
    <t xml:space="preserve">API gateway logging enabled; basic authentication required for write operations</t>
  </si>
  <si>
    <t xml:space="preserve">Monitor for abuse patterns; add to backlog for API gateway rate-limiting rollout in Q3</t>
  </si>
  <si>
    <t xml:space="preserve">API Platform Lead</t>
  </si>
  <si>
    <t xml:space="preserve">2026-07-31</t>
  </si>
  <si>
    <t xml:space="preserve">R-015</t>
  </si>
  <si>
    <t xml:space="preserve">Key-person dependency: single engineer holds undocumented knowledge of legacy claims adjudication rules engine</t>
  </si>
  <si>
    <t xml:space="preserve">Claims adjudication system</t>
  </si>
  <si>
    <t xml:space="preserve">Operational / Staffing</t>
  </si>
  <si>
    <t xml:space="preserve">No documentation; no cross-training; high attrition risk role</t>
  </si>
  <si>
    <t xml:space="preserve">None formal; tribal knowledge only</t>
  </si>
  <si>
    <t xml:space="preserve">Document rules engine logic and decision tables; cross-train second engineer; add to succession plan</t>
  </si>
  <si>
    <t xml:space="preserve">Engineering Manager</t>
  </si>
  <si>
    <t xml:space="preserve">RISK REGISTER — METHODOLOGY &amp; LEGEND</t>
  </si>
  <si>
    <t xml:space="preserve">Risk Scoring</t>
  </si>
  <si>
    <t xml:space="preserve">Risk Score = Likelihood (1-5) x Impact (1-5). Range 1-25.</t>
  </si>
  <si>
    <t xml:space="preserve">Critical</t>
  </si>
  <si>
    <t xml:space="preserve">20-25 — Immediate executive escalation and remediation required</t>
  </si>
  <si>
    <t xml:space="preserve">High</t>
  </si>
  <si>
    <t xml:space="preserve">10-19 — Remediation plan required within 30-60 days</t>
  </si>
  <si>
    <t xml:space="preserve">Medium</t>
  </si>
  <si>
    <t xml:space="preserve">5-9 — Remediation plan required within 90 days, or documented risk acceptance</t>
  </si>
  <si>
    <t xml:space="preserve">Low</t>
  </si>
  <si>
    <t xml:space="preserve">1-4 — Monitor; remediate opportunistically or formally accept</t>
  </si>
  <si>
    <t xml:space="preserve">Likelihood Scale</t>
  </si>
  <si>
    <t xml:space="preserve">1=Rare, 2=Unlikely, 3=Possible, 4=Likely, 5=Almost Certain</t>
  </si>
  <si>
    <t xml:space="preserve">Impact Scale</t>
  </si>
  <si>
    <t xml:space="preserve">1=Negligible, 2=Minor, 3=Moderate, 4=Major, 5=Severe (regulatory, financial, or patient-safety consequence)</t>
  </si>
  <si>
    <t xml:space="preserve">Risk Treatment Options</t>
  </si>
  <si>
    <t xml:space="preserve">Accept = retain risk within tolerance; Mitigate = reduce likelihood/impact via controls; Transfer = insurance/contract; Avoid = discontinue the activity</t>
  </si>
  <si>
    <t xml:space="preserve">How to use this cells</t>
  </si>
  <si>
    <t xml:space="preserve">Blue-bordered numeric cells (Likelihood/Impact/Effectiveness) are the editable inputs. Risk Score and Risk Level columns are formulas — do not hardcode.</t>
  </si>
  <si>
    <t xml:space="preserve">Review Cadence</t>
  </si>
  <si>
    <t xml:space="preserve">Full register reviewed quarterly by the GRC function; Critical/High risks reviewed monthly by risk owners; register updated continuously as new risks are identified.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</si>
</sst>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32"/>
    <col collapsed="false" customWidth="true" hidden="false" outlineLevel="0" max="13" min="13" style="0" width="11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2"/>
    <col collapsed="false" customWidth="true" hidden="false" outlineLevel="0" max="20" min="20" style="0" width="16"/>
    <col collapsed="false" customWidth="true" hidden="false" outlineLevel="0" max="21" min="21" style="0" width="15"/>
    <col collapsed="false" customWidth="true" hidden="false" outlineLevel="0" max="22" min="22" style="0" width="1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</row>
    <row r="5" customFormat="false" ht="46.25" hidden="false" customHeight="fals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n">
        <v>4</v>
      </c>
      <c r="I5" s="4" t="n">
        <v>5</v>
      </c>
      <c r="J5" s="5" t="n">
        <f aca="false">H5*I5</f>
        <v>20</v>
      </c>
      <c r="K5" s="6" t="str">
        <f aca="false">IF(J5&gt;=15,"Critical",IF(J5&gt;=10,"High",IF(J5&gt;=5,"Medium","Low")))</f>
        <v>Critical</v>
      </c>
      <c r="L5" s="4" t="s">
        <v>31</v>
      </c>
      <c r="M5" s="4" t="n">
        <v>4</v>
      </c>
      <c r="N5" s="4" t="n">
        <v>2</v>
      </c>
      <c r="O5" s="4" t="n">
        <v>2</v>
      </c>
      <c r="P5" s="5" t="n">
        <f aca="false">N5*O5</f>
        <v>4</v>
      </c>
      <c r="Q5" s="6" t="str">
        <f aca="false">IF(P5&gt;=15,"Critical",IF(P5&gt;=10,"High",IF(P5&gt;=5,"Medium","Low")))</f>
        <v>Low</v>
      </c>
      <c r="R5" s="4" t="s">
        <v>32</v>
      </c>
      <c r="S5" s="4" t="s">
        <v>33</v>
      </c>
      <c r="T5" s="4" t="s">
        <v>34</v>
      </c>
      <c r="U5" s="4" t="s">
        <v>35</v>
      </c>
      <c r="V5" s="4" t="s">
        <v>36</v>
      </c>
    </row>
    <row r="6" customFormat="false" ht="35.05" hidden="false" customHeight="false" outlineLevel="0" collapsed="false">
      <c r="A6" s="4" t="s">
        <v>37</v>
      </c>
      <c r="B6" s="4" t="s">
        <v>25</v>
      </c>
      <c r="C6" s="4" t="s">
        <v>38</v>
      </c>
      <c r="D6" s="4" t="s">
        <v>39</v>
      </c>
      <c r="E6" s="4" t="s">
        <v>40</v>
      </c>
      <c r="F6" s="4" t="s">
        <v>41</v>
      </c>
      <c r="G6" s="4" t="s">
        <v>42</v>
      </c>
      <c r="H6" s="4" t="n">
        <v>4</v>
      </c>
      <c r="I6" s="4" t="n">
        <v>5</v>
      </c>
      <c r="J6" s="5" t="n">
        <f aca="false">H6*I6</f>
        <v>20</v>
      </c>
      <c r="K6" s="6" t="str">
        <f aca="false">IF(J6&gt;=15,"Critical",IF(J6&gt;=10,"High",IF(J6&gt;=5,"Medium","Low")))</f>
        <v>Critical</v>
      </c>
      <c r="L6" s="4" t="s">
        <v>43</v>
      </c>
      <c r="M6" s="4" t="n">
        <v>3</v>
      </c>
      <c r="N6" s="4" t="n">
        <v>3</v>
      </c>
      <c r="O6" s="4" t="n">
        <v>2</v>
      </c>
      <c r="P6" s="5" t="n">
        <f aca="false">N6*O6</f>
        <v>6</v>
      </c>
      <c r="Q6" s="6" t="str">
        <f aca="false">IF(P6&gt;=15,"Critical",IF(P6&gt;=10,"High",IF(P6&gt;=5,"Medium","Low")))</f>
        <v>Medium</v>
      </c>
      <c r="R6" s="4" t="s">
        <v>32</v>
      </c>
      <c r="S6" s="4" t="s">
        <v>44</v>
      </c>
      <c r="T6" s="4" t="s">
        <v>45</v>
      </c>
      <c r="U6" s="4" t="s">
        <v>46</v>
      </c>
      <c r="V6" s="4" t="s">
        <v>36</v>
      </c>
    </row>
    <row r="7" customFormat="false" ht="46.25" hidden="false" customHeight="false" outlineLevel="0" collapsed="false">
      <c r="A7" s="4" t="s">
        <v>47</v>
      </c>
      <c r="B7" s="4" t="s">
        <v>48</v>
      </c>
      <c r="C7" s="4" t="s">
        <v>49</v>
      </c>
      <c r="D7" s="4" t="s">
        <v>50</v>
      </c>
      <c r="E7" s="4" t="s">
        <v>51</v>
      </c>
      <c r="F7" s="4" t="s">
        <v>52</v>
      </c>
      <c r="G7" s="4" t="s">
        <v>53</v>
      </c>
      <c r="H7" s="4" t="n">
        <v>3</v>
      </c>
      <c r="I7" s="4" t="n">
        <v>4</v>
      </c>
      <c r="J7" s="5" t="n">
        <f aca="false">H7*I7</f>
        <v>12</v>
      </c>
      <c r="K7" s="6" t="str">
        <f aca="false">IF(J7&gt;=15,"Critical",IF(J7&gt;=10,"High",IF(J7&gt;=5,"Medium","Low")))</f>
        <v>High</v>
      </c>
      <c r="L7" s="4" t="s">
        <v>54</v>
      </c>
      <c r="M7" s="4" t="n">
        <v>2</v>
      </c>
      <c r="N7" s="4" t="n">
        <v>3</v>
      </c>
      <c r="O7" s="4" t="n">
        <v>3</v>
      </c>
      <c r="P7" s="5" t="n">
        <f aca="false">N7*O7</f>
        <v>9</v>
      </c>
      <c r="Q7" s="6" t="str">
        <f aca="false">IF(P7&gt;=15,"Critical",IF(P7&gt;=10,"High",IF(P7&gt;=5,"Medium","Low")))</f>
        <v>Medium</v>
      </c>
      <c r="R7" s="4" t="s">
        <v>32</v>
      </c>
      <c r="S7" s="4" t="s">
        <v>55</v>
      </c>
      <c r="T7" s="4" t="s">
        <v>56</v>
      </c>
      <c r="U7" s="4" t="s">
        <v>57</v>
      </c>
      <c r="V7" s="4" t="s">
        <v>58</v>
      </c>
    </row>
    <row r="8" customFormat="false" ht="35.05" hidden="false" customHeight="false" outlineLevel="0" collapsed="false">
      <c r="A8" s="4" t="s">
        <v>59</v>
      </c>
      <c r="B8" s="4" t="s">
        <v>60</v>
      </c>
      <c r="C8" s="4" t="s">
        <v>61</v>
      </c>
      <c r="D8" s="4" t="s">
        <v>62</v>
      </c>
      <c r="E8" s="4" t="s">
        <v>63</v>
      </c>
      <c r="F8" s="4" t="s">
        <v>64</v>
      </c>
      <c r="G8" s="4" t="s">
        <v>65</v>
      </c>
      <c r="H8" s="4" t="n">
        <v>3</v>
      </c>
      <c r="I8" s="4" t="n">
        <v>5</v>
      </c>
      <c r="J8" s="5" t="n">
        <f aca="false">H8*I8</f>
        <v>15</v>
      </c>
      <c r="K8" s="6" t="str">
        <f aca="false">IF(J8&gt;=15,"Critical",IF(J8&gt;=10,"High",IF(J8&gt;=5,"Medium","Low")))</f>
        <v>Critical</v>
      </c>
      <c r="L8" s="4" t="s">
        <v>66</v>
      </c>
      <c r="M8" s="4" t="n">
        <v>3</v>
      </c>
      <c r="N8" s="4" t="n">
        <v>4</v>
      </c>
      <c r="O8" s="4" t="n">
        <v>3</v>
      </c>
      <c r="P8" s="5" t="n">
        <f aca="false">N8*O8</f>
        <v>12</v>
      </c>
      <c r="Q8" s="6" t="str">
        <f aca="false">IF(P8&gt;=15,"Critical",IF(P8&gt;=10,"High",IF(P8&gt;=5,"Medium","Low")))</f>
        <v>High</v>
      </c>
      <c r="R8" s="4" t="s">
        <v>32</v>
      </c>
      <c r="S8" s="4" t="s">
        <v>67</v>
      </c>
      <c r="T8" s="4" t="s">
        <v>68</v>
      </c>
      <c r="U8" s="4" t="s">
        <v>69</v>
      </c>
      <c r="V8" s="4" t="s">
        <v>58</v>
      </c>
    </row>
    <row r="9" customFormat="false" ht="35.05" hidden="false" customHeight="false" outlineLevel="0" collapsed="false">
      <c r="A9" s="4" t="s">
        <v>70</v>
      </c>
      <c r="B9" s="4" t="s">
        <v>71</v>
      </c>
      <c r="C9" s="4" t="s">
        <v>72</v>
      </c>
      <c r="D9" s="4" t="s">
        <v>73</v>
      </c>
      <c r="E9" s="4" t="s">
        <v>74</v>
      </c>
      <c r="F9" s="4" t="s">
        <v>75</v>
      </c>
      <c r="G9" s="4" t="s">
        <v>76</v>
      </c>
      <c r="H9" s="4" t="n">
        <v>4</v>
      </c>
      <c r="I9" s="4" t="n">
        <v>4</v>
      </c>
      <c r="J9" s="5" t="n">
        <f aca="false">H9*I9</f>
        <v>16</v>
      </c>
      <c r="K9" s="6" t="str">
        <f aca="false">IF(J9&gt;=15,"Critical",IF(J9&gt;=10,"High",IF(J9&gt;=5,"Medium","Low")))</f>
        <v>Critical</v>
      </c>
      <c r="L9" s="4" t="s">
        <v>77</v>
      </c>
      <c r="M9" s="4" t="n">
        <v>3</v>
      </c>
      <c r="N9" s="4" t="n">
        <v>3</v>
      </c>
      <c r="O9" s="4" t="n">
        <v>3</v>
      </c>
      <c r="P9" s="5" t="n">
        <f aca="false">N9*O9</f>
        <v>9</v>
      </c>
      <c r="Q9" s="6" t="str">
        <f aca="false">IF(P9&gt;=15,"Critical",IF(P9&gt;=10,"High",IF(P9&gt;=5,"Medium","Low")))</f>
        <v>Medium</v>
      </c>
      <c r="R9" s="4" t="s">
        <v>32</v>
      </c>
      <c r="S9" s="4" t="s">
        <v>78</v>
      </c>
      <c r="T9" s="4" t="s">
        <v>79</v>
      </c>
      <c r="U9" s="4" t="s">
        <v>80</v>
      </c>
      <c r="V9" s="4" t="s">
        <v>58</v>
      </c>
    </row>
    <row r="10" customFormat="false" ht="35.05" hidden="false" customHeight="false" outlineLevel="0" collapsed="false">
      <c r="A10" s="4" t="s">
        <v>81</v>
      </c>
      <c r="B10" s="4" t="s">
        <v>82</v>
      </c>
      <c r="C10" s="4" t="s">
        <v>83</v>
      </c>
      <c r="D10" s="4" t="s">
        <v>84</v>
      </c>
      <c r="E10" s="4" t="s">
        <v>85</v>
      </c>
      <c r="F10" s="4" t="s">
        <v>86</v>
      </c>
      <c r="G10" s="4" t="s">
        <v>87</v>
      </c>
      <c r="H10" s="4" t="n">
        <v>3</v>
      </c>
      <c r="I10" s="4" t="n">
        <v>4</v>
      </c>
      <c r="J10" s="5" t="n">
        <f aca="false">H10*I10</f>
        <v>12</v>
      </c>
      <c r="K10" s="6" t="str">
        <f aca="false">IF(J10&gt;=15,"Critical",IF(J10&gt;=10,"High",IF(J10&gt;=5,"Medium","Low")))</f>
        <v>High</v>
      </c>
      <c r="L10" s="4" t="s">
        <v>88</v>
      </c>
      <c r="M10" s="4" t="n">
        <v>3</v>
      </c>
      <c r="N10" s="4" t="n">
        <v>2</v>
      </c>
      <c r="O10" s="4" t="n">
        <v>3</v>
      </c>
      <c r="P10" s="5" t="n">
        <f aca="false">N10*O10</f>
        <v>6</v>
      </c>
      <c r="Q10" s="6" t="str">
        <f aca="false">IF(P10&gt;=15,"Critical",IF(P10&gt;=10,"High",IF(P10&gt;=5,"Medium","Low")))</f>
        <v>Medium</v>
      </c>
      <c r="R10" s="4" t="s">
        <v>32</v>
      </c>
      <c r="S10" s="4" t="s">
        <v>89</v>
      </c>
      <c r="T10" s="4" t="s">
        <v>90</v>
      </c>
      <c r="U10" s="4" t="s">
        <v>91</v>
      </c>
      <c r="V10" s="4" t="s">
        <v>36</v>
      </c>
    </row>
    <row r="11" customFormat="false" ht="35.05" hidden="false" customHeight="false" outlineLevel="0" collapsed="false">
      <c r="A11" s="4" t="s">
        <v>92</v>
      </c>
      <c r="B11" s="4" t="s">
        <v>93</v>
      </c>
      <c r="C11" s="4" t="s">
        <v>94</v>
      </c>
      <c r="D11" s="4" t="s">
        <v>95</v>
      </c>
      <c r="E11" s="4" t="s">
        <v>96</v>
      </c>
      <c r="F11" s="4" t="s">
        <v>97</v>
      </c>
      <c r="G11" s="4" t="s">
        <v>98</v>
      </c>
      <c r="H11" s="4" t="n">
        <v>2</v>
      </c>
      <c r="I11" s="4" t="n">
        <v>5</v>
      </c>
      <c r="J11" s="5" t="n">
        <f aca="false">H11*I11</f>
        <v>10</v>
      </c>
      <c r="K11" s="6" t="str">
        <f aca="false">IF(J11&gt;=15,"Critical",IF(J11&gt;=10,"High",IF(J11&gt;=5,"Medium","Low")))</f>
        <v>High</v>
      </c>
      <c r="L11" s="4" t="s">
        <v>99</v>
      </c>
      <c r="M11" s="4" t="n">
        <v>2</v>
      </c>
      <c r="N11" s="4" t="n">
        <v>2</v>
      </c>
      <c r="O11" s="4" t="n">
        <v>4</v>
      </c>
      <c r="P11" s="5" t="n">
        <f aca="false">N11*O11</f>
        <v>8</v>
      </c>
      <c r="Q11" s="6" t="str">
        <f aca="false">IF(P11&gt;=15,"Critical",IF(P11&gt;=10,"High",IF(P11&gt;=5,"Medium","Low")))</f>
        <v>Medium</v>
      </c>
      <c r="R11" s="4" t="s">
        <v>32</v>
      </c>
      <c r="S11" s="4" t="s">
        <v>100</v>
      </c>
      <c r="T11" s="4" t="s">
        <v>101</v>
      </c>
      <c r="U11" s="4" t="s">
        <v>102</v>
      </c>
      <c r="V11" s="4" t="s">
        <v>58</v>
      </c>
    </row>
    <row r="12" customFormat="false" ht="46.25" hidden="false" customHeight="false" outlineLevel="0" collapsed="false">
      <c r="A12" s="4" t="s">
        <v>103</v>
      </c>
      <c r="B12" s="4" t="s">
        <v>104</v>
      </c>
      <c r="C12" s="4" t="s">
        <v>105</v>
      </c>
      <c r="D12" s="4" t="s">
        <v>106</v>
      </c>
      <c r="E12" s="4" t="s">
        <v>107</v>
      </c>
      <c r="F12" s="4" t="s">
        <v>108</v>
      </c>
      <c r="G12" s="4" t="s">
        <v>109</v>
      </c>
      <c r="H12" s="4" t="n">
        <v>3</v>
      </c>
      <c r="I12" s="4" t="n">
        <v>5</v>
      </c>
      <c r="J12" s="5" t="n">
        <f aca="false">H12*I12</f>
        <v>15</v>
      </c>
      <c r="K12" s="6" t="str">
        <f aca="false">IF(J12&gt;=15,"Critical",IF(J12&gt;=10,"High",IF(J12&gt;=5,"Medium","Low")))</f>
        <v>Critical</v>
      </c>
      <c r="L12" s="4" t="s">
        <v>110</v>
      </c>
      <c r="M12" s="4" t="n">
        <v>1</v>
      </c>
      <c r="N12" s="4" t="n">
        <v>4</v>
      </c>
      <c r="O12" s="4" t="n">
        <v>1</v>
      </c>
      <c r="P12" s="5" t="n">
        <f aca="false">N12*O12</f>
        <v>4</v>
      </c>
      <c r="Q12" s="6" t="str">
        <f aca="false">IF(P12&gt;=15,"Critical",IF(P12&gt;=10,"High",IF(P12&gt;=5,"Medium","Low")))</f>
        <v>Low</v>
      </c>
      <c r="R12" s="4" t="s">
        <v>32</v>
      </c>
      <c r="S12" s="4" t="s">
        <v>111</v>
      </c>
      <c r="T12" s="4" t="s">
        <v>112</v>
      </c>
      <c r="U12" s="4" t="s">
        <v>113</v>
      </c>
      <c r="V12" s="4" t="s">
        <v>36</v>
      </c>
    </row>
    <row r="13" customFormat="false" ht="46.25" hidden="false" customHeight="false" outlineLevel="0" collapsed="false">
      <c r="A13" s="4" t="s">
        <v>114</v>
      </c>
      <c r="B13" s="4" t="s">
        <v>115</v>
      </c>
      <c r="C13" s="4" t="s">
        <v>116</v>
      </c>
      <c r="D13" s="4" t="s">
        <v>117</v>
      </c>
      <c r="E13" s="4" t="s">
        <v>118</v>
      </c>
      <c r="F13" s="4" t="s">
        <v>119</v>
      </c>
      <c r="G13" s="4" t="s">
        <v>120</v>
      </c>
      <c r="H13" s="4" t="n">
        <v>2</v>
      </c>
      <c r="I13" s="4" t="n">
        <v>4</v>
      </c>
      <c r="J13" s="5" t="n">
        <f aca="false">H13*I13</f>
        <v>8</v>
      </c>
      <c r="K13" s="6" t="str">
        <f aca="false">IF(J13&gt;=15,"Critical",IF(J13&gt;=10,"High",IF(J13&gt;=5,"Medium","Low")))</f>
        <v>Medium</v>
      </c>
      <c r="L13" s="4" t="s">
        <v>121</v>
      </c>
      <c r="M13" s="4" t="n">
        <v>2</v>
      </c>
      <c r="N13" s="4" t="n">
        <v>2</v>
      </c>
      <c r="O13" s="4" t="n">
        <v>3</v>
      </c>
      <c r="P13" s="5" t="n">
        <f aca="false">N13*O13</f>
        <v>6</v>
      </c>
      <c r="Q13" s="6" t="str">
        <f aca="false">IF(P13&gt;=15,"Critical",IF(P13&gt;=10,"High",IF(P13&gt;=5,"Medium","Low")))</f>
        <v>Medium</v>
      </c>
      <c r="R13" s="4" t="s">
        <v>122</v>
      </c>
      <c r="S13" s="4" t="s">
        <v>123</v>
      </c>
      <c r="T13" s="4" t="s">
        <v>124</v>
      </c>
      <c r="U13" s="4" t="s">
        <v>125</v>
      </c>
      <c r="V13" s="4" t="s">
        <v>58</v>
      </c>
    </row>
    <row r="14" customFormat="false" ht="46.25" hidden="false" customHeight="false" outlineLevel="0" collapsed="false">
      <c r="A14" s="4" t="s">
        <v>126</v>
      </c>
      <c r="B14" s="4" t="s">
        <v>127</v>
      </c>
      <c r="C14" s="4" t="s">
        <v>128</v>
      </c>
      <c r="D14" s="4" t="s">
        <v>129</v>
      </c>
      <c r="E14" s="4" t="s">
        <v>130</v>
      </c>
      <c r="F14" s="4" t="s">
        <v>131</v>
      </c>
      <c r="G14" s="4" t="s">
        <v>132</v>
      </c>
      <c r="H14" s="4" t="n">
        <v>3</v>
      </c>
      <c r="I14" s="4" t="n">
        <v>4</v>
      </c>
      <c r="J14" s="5" t="n">
        <f aca="false">H14*I14</f>
        <v>12</v>
      </c>
      <c r="K14" s="6" t="str">
        <f aca="false">IF(J14&gt;=15,"Critical",IF(J14&gt;=10,"High",IF(J14&gt;=5,"Medium","Low")))</f>
        <v>High</v>
      </c>
      <c r="L14" s="4" t="s">
        <v>133</v>
      </c>
      <c r="M14" s="4" t="n">
        <v>3</v>
      </c>
      <c r="N14" s="4" t="n">
        <v>2</v>
      </c>
      <c r="O14" s="4" t="n">
        <v>3</v>
      </c>
      <c r="P14" s="5" t="n">
        <f aca="false">N14*O14</f>
        <v>6</v>
      </c>
      <c r="Q14" s="6" t="str">
        <f aca="false">IF(P14&gt;=15,"Critical",IF(P14&gt;=10,"High",IF(P14&gt;=5,"Medium","Low")))</f>
        <v>Medium</v>
      </c>
      <c r="R14" s="4" t="s">
        <v>32</v>
      </c>
      <c r="S14" s="4" t="s">
        <v>134</v>
      </c>
      <c r="T14" s="4" t="s">
        <v>135</v>
      </c>
      <c r="U14" s="4" t="s">
        <v>136</v>
      </c>
      <c r="V14" s="4" t="s">
        <v>58</v>
      </c>
    </row>
    <row r="15" customFormat="false" ht="57.45" hidden="false" customHeight="false" outlineLevel="0" collapsed="false">
      <c r="A15" s="4" t="s">
        <v>137</v>
      </c>
      <c r="B15" s="4" t="s">
        <v>138</v>
      </c>
      <c r="C15" s="4" t="s">
        <v>26</v>
      </c>
      <c r="D15" s="4" t="s">
        <v>139</v>
      </c>
      <c r="E15" s="4" t="s">
        <v>140</v>
      </c>
      <c r="F15" s="4" t="s">
        <v>141</v>
      </c>
      <c r="G15" s="4" t="s">
        <v>142</v>
      </c>
      <c r="H15" s="4" t="n">
        <v>3</v>
      </c>
      <c r="I15" s="4" t="n">
        <v>3</v>
      </c>
      <c r="J15" s="5" t="n">
        <f aca="false">H15*I15</f>
        <v>9</v>
      </c>
      <c r="K15" s="6" t="str">
        <f aca="false">IF(J15&gt;=15,"Critical",IF(J15&gt;=10,"High",IF(J15&gt;=5,"Medium","Low")))</f>
        <v>Medium</v>
      </c>
      <c r="L15" s="4" t="s">
        <v>143</v>
      </c>
      <c r="M15" s="4" t="n">
        <v>3</v>
      </c>
      <c r="N15" s="4" t="n">
        <v>2</v>
      </c>
      <c r="O15" s="4" t="n">
        <v>2</v>
      </c>
      <c r="P15" s="5" t="n">
        <f aca="false">N15*O15</f>
        <v>4</v>
      </c>
      <c r="Q15" s="6" t="str">
        <f aca="false">IF(P15&gt;=15,"Critical",IF(P15&gt;=10,"High",IF(P15&gt;=5,"Medium","Low")))</f>
        <v>Low</v>
      </c>
      <c r="R15" s="4" t="s">
        <v>32</v>
      </c>
      <c r="S15" s="4" t="s">
        <v>144</v>
      </c>
      <c r="T15" s="4" t="s">
        <v>145</v>
      </c>
      <c r="U15" s="4" t="s">
        <v>146</v>
      </c>
      <c r="V15" s="4" t="s">
        <v>58</v>
      </c>
    </row>
    <row r="16" customFormat="false" ht="46.25" hidden="false" customHeight="false" outlineLevel="0" collapsed="false">
      <c r="A16" s="4" t="s">
        <v>147</v>
      </c>
      <c r="B16" s="4" t="s">
        <v>148</v>
      </c>
      <c r="C16" s="4" t="s">
        <v>49</v>
      </c>
      <c r="D16" s="4" t="s">
        <v>149</v>
      </c>
      <c r="E16" s="4" t="s">
        <v>150</v>
      </c>
      <c r="F16" s="4" t="s">
        <v>151</v>
      </c>
      <c r="G16" s="4" t="s">
        <v>152</v>
      </c>
      <c r="H16" s="4" t="n">
        <v>2</v>
      </c>
      <c r="I16" s="4" t="n">
        <v>4</v>
      </c>
      <c r="J16" s="5" t="n">
        <f aca="false">H16*I16</f>
        <v>8</v>
      </c>
      <c r="K16" s="6" t="str">
        <f aca="false">IF(J16&gt;=15,"Critical",IF(J16&gt;=10,"High",IF(J16&gt;=5,"Medium","Low")))</f>
        <v>Medium</v>
      </c>
      <c r="L16" s="4" t="s">
        <v>153</v>
      </c>
      <c r="M16" s="4" t="n">
        <v>2</v>
      </c>
      <c r="N16" s="4" t="n">
        <v>2</v>
      </c>
      <c r="O16" s="4" t="n">
        <v>3</v>
      </c>
      <c r="P16" s="5" t="n">
        <f aca="false">N16*O16</f>
        <v>6</v>
      </c>
      <c r="Q16" s="6" t="str">
        <f aca="false">IF(P16&gt;=15,"Critical",IF(P16&gt;=10,"High",IF(P16&gt;=5,"Medium","Low")))</f>
        <v>Medium</v>
      </c>
      <c r="R16" s="4" t="s">
        <v>32</v>
      </c>
      <c r="S16" s="4" t="s">
        <v>154</v>
      </c>
      <c r="T16" s="4" t="s">
        <v>45</v>
      </c>
      <c r="U16" s="4" t="s">
        <v>155</v>
      </c>
      <c r="V16" s="4" t="s">
        <v>58</v>
      </c>
    </row>
    <row r="17" customFormat="false" ht="46.25" hidden="false" customHeight="false" outlineLevel="0" collapsed="false">
      <c r="A17" s="4" t="s">
        <v>156</v>
      </c>
      <c r="B17" s="4" t="s">
        <v>157</v>
      </c>
      <c r="C17" s="4" t="s">
        <v>158</v>
      </c>
      <c r="D17" s="4" t="s">
        <v>159</v>
      </c>
      <c r="E17" s="4" t="s">
        <v>160</v>
      </c>
      <c r="F17" s="4" t="s">
        <v>161</v>
      </c>
      <c r="G17" s="4" t="s">
        <v>162</v>
      </c>
      <c r="H17" s="4" t="n">
        <v>4</v>
      </c>
      <c r="I17" s="4" t="n">
        <v>3</v>
      </c>
      <c r="J17" s="5" t="n">
        <f aca="false">H17*I17</f>
        <v>12</v>
      </c>
      <c r="K17" s="6" t="str">
        <f aca="false">IF(J17&gt;=15,"Critical",IF(J17&gt;=10,"High",IF(J17&gt;=5,"Medium","Low")))</f>
        <v>High</v>
      </c>
      <c r="L17" s="4" t="s">
        <v>163</v>
      </c>
      <c r="M17" s="4" t="n">
        <v>3</v>
      </c>
      <c r="N17" s="4" t="n">
        <v>2</v>
      </c>
      <c r="O17" s="4" t="n">
        <v>2</v>
      </c>
      <c r="P17" s="5" t="n">
        <f aca="false">N17*O17</f>
        <v>4</v>
      </c>
      <c r="Q17" s="6" t="str">
        <f aca="false">IF(P17&gt;=15,"Critical",IF(P17&gt;=10,"High",IF(P17&gt;=5,"Medium","Low")))</f>
        <v>Low</v>
      </c>
      <c r="R17" s="4" t="s">
        <v>32</v>
      </c>
      <c r="S17" s="4" t="s">
        <v>164</v>
      </c>
      <c r="T17" s="4" t="s">
        <v>165</v>
      </c>
      <c r="U17" s="4" t="s">
        <v>46</v>
      </c>
      <c r="V17" s="4" t="s">
        <v>36</v>
      </c>
    </row>
    <row r="18" customFormat="false" ht="35.05" hidden="false" customHeight="false" outlineLevel="0" collapsed="false">
      <c r="A18" s="4" t="s">
        <v>166</v>
      </c>
      <c r="B18" s="4" t="s">
        <v>167</v>
      </c>
      <c r="C18" s="4" t="s">
        <v>72</v>
      </c>
      <c r="D18" s="4" t="s">
        <v>168</v>
      </c>
      <c r="E18" s="4" t="s">
        <v>169</v>
      </c>
      <c r="F18" s="4" t="s">
        <v>170</v>
      </c>
      <c r="G18" s="4" t="s">
        <v>171</v>
      </c>
      <c r="H18" s="4" t="n">
        <v>3</v>
      </c>
      <c r="I18" s="4" t="n">
        <v>2</v>
      </c>
      <c r="J18" s="5" t="n">
        <f aca="false">H18*I18</f>
        <v>6</v>
      </c>
      <c r="K18" s="6" t="str">
        <f aca="false">IF(J18&gt;=15,"Critical",IF(J18&gt;=10,"High",IF(J18&gt;=5,"Medium","Low")))</f>
        <v>Medium</v>
      </c>
      <c r="L18" s="4" t="s">
        <v>172</v>
      </c>
      <c r="M18" s="4" t="n">
        <v>2</v>
      </c>
      <c r="N18" s="4" t="n">
        <v>2</v>
      </c>
      <c r="O18" s="4" t="n">
        <v>1</v>
      </c>
      <c r="P18" s="5" t="n">
        <f aca="false">N18*O18</f>
        <v>2</v>
      </c>
      <c r="Q18" s="6" t="str">
        <f aca="false">IF(P18&gt;=15,"Critical",IF(P18&gt;=10,"High",IF(P18&gt;=5,"Medium","Low")))</f>
        <v>Low</v>
      </c>
      <c r="R18" s="4" t="s">
        <v>122</v>
      </c>
      <c r="S18" s="4" t="s">
        <v>173</v>
      </c>
      <c r="T18" s="4" t="s">
        <v>174</v>
      </c>
      <c r="U18" s="4" t="s">
        <v>175</v>
      </c>
      <c r="V18" s="4" t="s">
        <v>58</v>
      </c>
    </row>
    <row r="19" customFormat="false" ht="46.25" hidden="false" customHeight="false" outlineLevel="0" collapsed="false">
      <c r="A19" s="4" t="s">
        <v>176</v>
      </c>
      <c r="B19" s="4" t="s">
        <v>102</v>
      </c>
      <c r="C19" s="4" t="s">
        <v>61</v>
      </c>
      <c r="D19" s="4" t="s">
        <v>177</v>
      </c>
      <c r="E19" s="4" t="s">
        <v>178</v>
      </c>
      <c r="F19" s="4" t="s">
        <v>179</v>
      </c>
      <c r="G19" s="4" t="s">
        <v>180</v>
      </c>
      <c r="H19" s="4" t="n">
        <v>3</v>
      </c>
      <c r="I19" s="4" t="n">
        <v>4</v>
      </c>
      <c r="J19" s="5" t="n">
        <f aca="false">H19*I19</f>
        <v>12</v>
      </c>
      <c r="K19" s="6" t="str">
        <f aca="false">IF(J19&gt;=15,"Critical",IF(J19&gt;=10,"High",IF(J19&gt;=5,"Medium","Low")))</f>
        <v>High</v>
      </c>
      <c r="L19" s="4" t="s">
        <v>181</v>
      </c>
      <c r="M19" s="4" t="n">
        <v>3</v>
      </c>
      <c r="N19" s="4" t="n">
        <v>4</v>
      </c>
      <c r="O19" s="4" t="n">
        <v>3</v>
      </c>
      <c r="P19" s="5" t="n">
        <f aca="false">N19*O19</f>
        <v>12</v>
      </c>
      <c r="Q19" s="6" t="str">
        <f aca="false">IF(P19&gt;=15,"Critical",IF(P19&gt;=10,"High",IF(P19&gt;=5,"Medium","Low")))</f>
        <v>High</v>
      </c>
      <c r="R19" s="4" t="s">
        <v>32</v>
      </c>
      <c r="S19" s="4" t="s">
        <v>182</v>
      </c>
      <c r="T19" s="4" t="s">
        <v>183</v>
      </c>
      <c r="U19" s="4" t="s">
        <v>35</v>
      </c>
      <c r="V19" s="4" t="s">
        <v>58</v>
      </c>
    </row>
  </sheetData>
  <mergeCells count="2">
    <mergeCell ref="A1:V1"/>
    <mergeCell ref="A2:V2"/>
  </mergeCells>
  <conditionalFormatting sqref="K5:K19">
    <cfRule type="expression" priority="2" aboveAverage="0" equalAverage="0" bottom="0" percent="0" rank="0" text="" dxfId="0">
      <formula>K5="Critical"</formula>
    </cfRule>
    <cfRule type="expression" priority="3" aboveAverage="0" equalAverage="0" bottom="0" percent="0" rank="0" text="" dxfId="1">
      <formula>K5="High"</formula>
    </cfRule>
    <cfRule type="expression" priority="4" aboveAverage="0" equalAverage="0" bottom="0" percent="0" rank="0" text="" dxfId="2">
      <formula>K5="Medium"</formula>
    </cfRule>
    <cfRule type="expression" priority="5" aboveAverage="0" equalAverage="0" bottom="0" percent="0" rank="0" text="" dxfId="3">
      <formula>K5="Low"</formula>
    </cfRule>
  </conditionalFormatting>
  <conditionalFormatting sqref="Q5:Q19">
    <cfRule type="expression" priority="6" aboveAverage="0" equalAverage="0" bottom="0" percent="0" rank="0" text="" dxfId="0">
      <formula>Q5="Critical"</formula>
    </cfRule>
    <cfRule type="expression" priority="7" aboveAverage="0" equalAverage="0" bottom="0" percent="0" rank="0" text="" dxfId="1">
      <formula>Q5="High"</formula>
    </cfRule>
    <cfRule type="expression" priority="8" aboveAverage="0" equalAverage="0" bottom="0" percent="0" rank="0" text="" dxfId="2">
      <formula>Q5="Medium"</formula>
    </cfRule>
    <cfRule type="expression" priority="9" aboveAverage="0" equalAverage="0" bottom="0" percent="0" rank="0" text="" dxfId="3">
      <formula>Q5="Low"</formula>
    </cfRule>
  </conditionalFormatting>
  <dataValidations count="4">
    <dataValidation allowBlank="true" errorStyle="stop" operator="between" showDropDown="false" showErrorMessage="false" showInputMessage="false" sqref="C5:C39" type="list">
      <formula1>"Data Protection,Access Control,Third-Party / Vendor,Business Continuity,Application Security,Cloud / Infrastructure,Compliance / Regulatory,Insider Threat,Physical Security,Change Management,Human Resources / Security Awareness"</formula1>
      <formula2>0</formula2>
    </dataValidation>
    <dataValidation allowBlank="true" errorStyle="stop" operator="between" showDropDown="false" showErrorMessage="false" showInputMessage="false" sqref="H5:I39 M5:O39" type="whole">
      <formula1>1</formula1>
      <formula2>5</formula2>
    </dataValidation>
    <dataValidation allowBlank="true" errorStyle="stop" operator="between" showDropDown="false" showErrorMessage="false" showInputMessage="false" sqref="R5:R39" type="list">
      <formula1>"Accept,Mitigate,Transfer,Avoid"</formula1>
      <formula2>0</formula2>
    </dataValidation>
    <dataValidation allowBlank="true" errorStyle="stop" operator="between" showDropDown="false" showErrorMessage="false" showInputMessage="false" sqref="V5:V39" type="list">
      <formula1>"Open,In Progress,Closed,Overdue"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7" t="s">
        <v>184</v>
      </c>
    </row>
    <row r="2" customFormat="false" ht="15" hidden="false" customHeight="false" outlineLevel="0" collapsed="false">
      <c r="A2" s="8"/>
      <c r="B2" s="9"/>
    </row>
    <row r="3" customFormat="false" ht="15" hidden="false" customHeight="false" outlineLevel="0" collapsed="false">
      <c r="A3" s="8" t="s">
        <v>185</v>
      </c>
      <c r="B3" s="9" t="s">
        <v>186</v>
      </c>
    </row>
    <row r="4" customFormat="false" ht="15" hidden="false" customHeight="false" outlineLevel="0" collapsed="false">
      <c r="A4" s="8" t="s">
        <v>187</v>
      </c>
      <c r="B4" s="9" t="s">
        <v>188</v>
      </c>
    </row>
    <row r="5" customFormat="false" ht="15" hidden="false" customHeight="false" outlineLevel="0" collapsed="false">
      <c r="A5" s="8" t="s">
        <v>189</v>
      </c>
      <c r="B5" s="9" t="s">
        <v>190</v>
      </c>
    </row>
    <row r="6" customFormat="false" ht="15" hidden="false" customHeight="false" outlineLevel="0" collapsed="false">
      <c r="A6" s="8" t="s">
        <v>191</v>
      </c>
      <c r="B6" s="9" t="s">
        <v>192</v>
      </c>
    </row>
    <row r="7" customFormat="false" ht="15" hidden="false" customHeight="false" outlineLevel="0" collapsed="false">
      <c r="A7" s="8" t="s">
        <v>193</v>
      </c>
      <c r="B7" s="9" t="s">
        <v>194</v>
      </c>
    </row>
    <row r="8" customFormat="false" ht="15" hidden="false" customHeight="false" outlineLevel="0" collapsed="false">
      <c r="A8" s="8"/>
      <c r="B8" s="9"/>
    </row>
    <row r="9" customFormat="false" ht="15" hidden="false" customHeight="false" outlineLevel="0" collapsed="false">
      <c r="A9" s="8" t="s">
        <v>195</v>
      </c>
      <c r="B9" s="9" t="s">
        <v>196</v>
      </c>
    </row>
    <row r="10" customFormat="false" ht="15" hidden="false" customHeight="false" outlineLevel="0" collapsed="false">
      <c r="A10" s="8" t="s">
        <v>197</v>
      </c>
      <c r="B10" s="9" t="s">
        <v>198</v>
      </c>
    </row>
    <row r="11" customFormat="false" ht="15" hidden="false" customHeight="false" outlineLevel="0" collapsed="false">
      <c r="A11" s="8"/>
      <c r="B11" s="9"/>
    </row>
    <row r="12" customFormat="false" ht="23.85" hidden="false" customHeight="false" outlineLevel="0" collapsed="false">
      <c r="A12" s="8" t="s">
        <v>199</v>
      </c>
      <c r="B12" s="9" t="s">
        <v>200</v>
      </c>
    </row>
    <row r="13" customFormat="false" ht="15" hidden="false" customHeight="false" outlineLevel="0" collapsed="false">
      <c r="A13" s="8"/>
      <c r="B13" s="9"/>
    </row>
    <row r="14" customFormat="false" ht="23.85" hidden="false" customHeight="false" outlineLevel="0" collapsed="false">
      <c r="A14" s="8" t="s">
        <v>201</v>
      </c>
      <c r="B14" s="9" t="s">
        <v>202</v>
      </c>
    </row>
    <row r="15" customFormat="false" ht="23.85" hidden="false" customHeight="false" outlineLevel="0" collapsed="false">
      <c r="A15" s="8" t="s">
        <v>203</v>
      </c>
      <c r="B15" s="9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2026-08-13T08:44:03Z</dcterms:created>
  <dc:creator>openpyxl</dc:creator>
  <dc:description/>
  <dc:language>en-US</dc:language>
  <cp:lastModifiedBy/>
  <dcterms:modified xsi:type="dcterms:W3CDTF">2026-08-13T08:44:03Z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