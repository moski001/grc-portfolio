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Vendor Inventory" sheetId="1" state="visible" r:id="rId1"/>
    <sheet xmlns:r="http://schemas.openxmlformats.org/officeDocument/2006/relationships" name="Security Questionnaire (V-001)" sheetId="2" state="visible" r:id="rId2"/>
    <sheet xmlns:r="http://schemas.openxmlformats.org/officeDocument/2006/relationships" name="Scoring Methodology" sheetId="3" state="visible" r:id="rId3"/>
  </sheets>
  <definedNames>
    <definedName name="_xlnm.Print_Titles" localSheetId="0">'Vendor Inventory'!$4:$4</definedName>
    <definedName name="_xlnm.Print_Area" localSheetId="0">'Vendor Inventory'!$A$1:$K$15</definedName>
    <definedName name="_xlnm.Print_Titles" localSheetId="1">'Security Questionnaire (V-001)'!$4:$4</definedName>
    <definedName name="_xlnm.Print_Area" localSheetId="1">'Security Questionnaire (V-001)'!$A$1:$D$22</definedName>
    <definedName name="_xlnm.Print_Area" localSheetId="2">'Scoring Methodology'!$A$1:$B$7</definedName>
  </definedNames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1">
    <numFmt numFmtId="164" formatCode="yyyy-mm-dd"/>
  </numFmts>
  <fonts count="10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0"/>
      <b val="1"/>
      <color rgb="FF1F3864"/>
      <sz val="16"/>
    </font>
    <font>
      <name val="Arial"/>
      <charset val="1"/>
      <family val="0"/>
      <i val="1"/>
      <color rgb="FF595959"/>
      <sz val="10"/>
    </font>
    <font>
      <name val="Arial"/>
      <charset val="1"/>
      <family val="0"/>
      <b val="1"/>
      <color rgb="FFFFFFFF"/>
      <sz val="10"/>
    </font>
    <font>
      <name val="Arial"/>
      <charset val="1"/>
      <family val="0"/>
      <sz val="10"/>
    </font>
    <font>
      <name val="Arial"/>
      <charset val="1"/>
      <family val="0"/>
      <b val="1"/>
      <color rgb="FF1F3864"/>
      <sz val="11"/>
    </font>
    <font>
      <name val="Arial"/>
      <charset val="1"/>
      <family val="0"/>
      <b val="1"/>
      <sz val="10"/>
    </font>
  </fonts>
  <fills count="3">
    <fill>
      <patternFill/>
    </fill>
    <fill>
      <patternFill patternType="gray125"/>
    </fill>
    <fill>
      <patternFill patternType="solid">
        <fgColor rgb="FF1F3864"/>
        <bgColor rgb="FF333333"/>
      </patternFill>
    </fill>
  </fills>
  <borders count="2">
    <border>
      <left/>
      <right/>
      <top/>
      <bottom/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21">
    <xf numFmtId="0" fontId="0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bottom"/>
    </xf>
    <xf numFmtId="0" fontId="6" fillId="2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general" vertical="top" wrapText="1"/>
    </xf>
    <xf numFmtId="0" fontId="8" fillId="0" borderId="0" applyAlignment="1" pivotButton="0" quotePrefix="0" xfId="0">
      <alignment horizontal="general" vertical="bottom"/>
    </xf>
    <xf numFmtId="0" fontId="7" fillId="0" borderId="0" applyAlignment="1" pivotButton="0" quotePrefix="0" xfId="0">
      <alignment horizontal="general" vertical="bottom" wrapText="1"/>
    </xf>
    <xf numFmtId="0" fontId="4" fillId="0" borderId="0" applyAlignment="1" pivotButton="0" quotePrefix="0" xfId="0">
      <alignment horizontal="general" vertical="bottom"/>
    </xf>
    <xf numFmtId="0" fontId="9" fillId="0" borderId="0" applyAlignment="1" pivotButton="0" quotePrefix="0" xfId="0">
      <alignment horizontal="general" vertical="bottom"/>
    </xf>
    <xf numFmtId="0" fontId="7" fillId="0" borderId="0" applyAlignment="1" pivotButton="0" quotePrefix="0" xfId="0">
      <alignment horizontal="general" vertical="bottom" wrapText="1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bottom"/>
    </xf>
    <xf numFmtId="0" fontId="6" fillId="2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general" vertical="top" wrapText="1"/>
    </xf>
    <xf numFmtId="0" fontId="8" fillId="0" borderId="0" applyAlignment="1" pivotButton="0" quotePrefix="0" xfId="0">
      <alignment horizontal="general" vertical="bottom"/>
    </xf>
    <xf numFmtId="0" fontId="7" fillId="0" borderId="0" applyAlignment="1" pivotButton="0" quotePrefix="0" xfId="0">
      <alignment horizontal="general" vertical="bottom" wrapText="1"/>
    </xf>
    <xf numFmtId="0" fontId="9" fillId="0" borderId="0" applyAlignment="1" pivotButton="0" quotePrefix="0" xfId="0">
      <alignment horizontal="general" vertical="bottom"/>
    </xf>
    <xf numFmtId="164" fontId="7" fillId="0" borderId="1" applyAlignment="1" pivotButton="0" quotePrefix="0" xfId="0">
      <alignment horizontal="general" vertical="top" wrapText="1"/>
    </xf>
    <xf numFmtId="164" fontId="7" fillId="0" borderId="1" applyAlignment="1" pivotButton="0" quotePrefix="0" xfId="0">
      <alignment horizontal="general" vertical="top" wrapText="1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dxfs count="4">
    <dxf>
      <font>
        <name val="Arial"/>
        <charset val="1"/>
        <family val="0"/>
        <b val="1"/>
        <color rgb="FFFFFFFF"/>
      </font>
      <fill>
        <patternFill>
          <bgColor rgb="FFC00000"/>
        </patternFill>
      </fill>
    </dxf>
    <dxf>
      <fill>
        <patternFill>
          <bgColor rgb="FFFFC000"/>
        </patternFill>
      </fill>
    </dxf>
    <dxf>
      <font>
        <name val="Arial"/>
        <charset val="1"/>
        <family val="0"/>
        <color rgb="FFFFFFFF"/>
      </font>
      <fill>
        <patternFill>
          <bgColor rgb="FF70AD47"/>
        </patternFill>
      </fill>
    </dxf>
    <dxf>
      <font>
        <name val="Arial"/>
        <charset val="1"/>
        <family val="0"/>
        <color rgb="FFFFFFFF"/>
      </font>
      <fill>
        <patternFill>
          <bgColor rgb="FF808080"/>
        </patternFill>
      </fill>
    </dxf>
  </dxf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7B7B7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000"/>
      <rgbColor rgb="FFFF9900"/>
      <rgbColor rgb="FFFF6600"/>
      <rgbColor rgb="FF595959"/>
      <rgbColor rgb="FF70AD47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1"/>
  </sheetPr>
  <dimension ref="A1:K15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baseColWidth="8" defaultColWidth="8.6796875" defaultRowHeight="15" zeroHeight="0" outlineLevelRow="0"/>
  <cols>
    <col width="10" customWidth="1" style="10" min="1" max="1"/>
    <col width="22" customWidth="1" style="10" min="2" max="2"/>
    <col width="26" customWidth="1" style="10" min="3" max="3"/>
    <col width="22" customWidth="1" style="10" min="4" max="4"/>
    <col width="14" customWidth="1" style="10" min="5" max="6"/>
    <col width="16" customWidth="1" style="10" min="7" max="7"/>
    <col width="15" customWidth="1" style="10" min="8" max="8"/>
    <col width="16" customWidth="1" style="10" min="9" max="9"/>
    <col width="12" customWidth="1" style="10" min="10" max="10"/>
    <col width="16" customWidth="1" style="10" min="11" max="11"/>
  </cols>
  <sheetData>
    <row r="1" ht="19.7" customHeight="1" s="11">
      <c r="A1" s="12" t="inlineStr">
        <is>
          <t>MERIDIAN HEALTH ANALYTICS, INC. — THIRD-PARTY / VENDOR RISK ASSESSMENT</t>
        </is>
      </c>
    </row>
    <row r="2" ht="15" customHeight="1" s="11">
      <c r="A2" s="13" t="inlineStr">
        <is>
          <t>Sample GRC portfolio artifact | Fictional company | Vendor inventory, risk tiering, and assessment status | Assessment dates are fictional scenario dates.</t>
        </is>
      </c>
    </row>
    <row r="4" ht="35.05" customHeight="1" s="11">
      <c r="A4" s="14" t="inlineStr">
        <is>
          <t>Vendor ID</t>
        </is>
      </c>
      <c r="B4" s="14" t="inlineStr">
        <is>
          <t>Vendor Name</t>
        </is>
      </c>
      <c r="C4" s="14" t="inlineStr">
        <is>
          <t>Service Provided</t>
        </is>
      </c>
      <c r="D4" s="14" t="inlineStr">
        <is>
          <t>Data Accessed</t>
        </is>
      </c>
      <c r="E4" s="14" t="inlineStr">
        <is>
          <t>PHI/PII Access?</t>
        </is>
      </c>
      <c r="F4" s="14" t="inlineStr">
        <is>
          <t>Inherent Risk Tier</t>
        </is>
      </c>
      <c r="G4" s="14" t="inlineStr">
        <is>
          <t>SOC 2 Type II on File?</t>
        </is>
      </c>
      <c r="H4" s="14" t="inlineStr">
        <is>
          <t>Last Assessment Date</t>
        </is>
      </c>
      <c r="I4" s="14" t="inlineStr">
        <is>
          <t>Assessment Score (0-100)</t>
        </is>
      </c>
      <c r="J4" s="14" t="inlineStr">
        <is>
          <t>Risk Rating</t>
        </is>
      </c>
      <c r="K4" s="14" t="inlineStr">
        <is>
          <t>Contract Renewal Date</t>
        </is>
      </c>
    </row>
    <row r="5" ht="23.85" customHeight="1" s="11">
      <c r="A5" s="15" t="inlineStr">
        <is>
          <t>V-001</t>
        </is>
      </c>
      <c r="B5" s="15" t="inlineStr">
        <is>
          <t>ClaimLink Corp</t>
        </is>
      </c>
      <c r="C5" s="15" t="inlineStr">
        <is>
          <t>Claims clearinghouse / eligibility verification</t>
        </is>
      </c>
      <c r="D5" s="15" t="inlineStr">
        <is>
          <t>PHI, claims data</t>
        </is>
      </c>
      <c r="E5" s="15" t="inlineStr">
        <is>
          <t>Yes</t>
        </is>
      </c>
      <c r="F5" s="15" t="inlineStr">
        <is>
          <t>Critical</t>
        </is>
      </c>
      <c r="G5" s="15" t="inlineStr">
        <is>
          <t>No</t>
        </is>
      </c>
      <c r="H5" s="20" t="n">
        <v>45964</v>
      </c>
      <c r="I5" s="15" t="n">
        <v>84</v>
      </c>
      <c r="J5" s="15">
        <f>IF(I5="","Not Assessed",IF(AND(F5="Critical",I5&lt;80),"High",IF(I5&lt;70,"High",IF(I5&lt;85,"Medium","Low"))))</f>
        <v/>
      </c>
      <c r="K5" s="15" t="inlineStr">
        <is>
          <t>2026-01-15</t>
        </is>
      </c>
    </row>
    <row r="6" ht="23.85" customHeight="1" s="11">
      <c r="A6" s="15" t="inlineStr">
        <is>
          <t>V-002</t>
        </is>
      </c>
      <c r="B6" s="15" t="inlineStr">
        <is>
          <t>AWS (Amazon Web Services)</t>
        </is>
      </c>
      <c r="C6" s="15" t="inlineStr">
        <is>
          <t>Cloud infrastructure hosting (IaaS)</t>
        </is>
      </c>
      <c r="D6" s="15" t="inlineStr">
        <is>
          <t>PHI, all production data</t>
        </is>
      </c>
      <c r="E6" s="15" t="inlineStr">
        <is>
          <t>Yes</t>
        </is>
      </c>
      <c r="F6" s="15" t="inlineStr">
        <is>
          <t>Critical</t>
        </is>
      </c>
      <c r="G6" s="15" t="inlineStr">
        <is>
          <t>Yes</t>
        </is>
      </c>
      <c r="H6" s="20" t="n">
        <v>45944</v>
      </c>
      <c r="I6" s="15" t="n">
        <v>96</v>
      </c>
      <c r="J6" s="15">
        <f>IF(I6="","Not Assessed",IF(AND(F6="Critical",I6&lt;80),"High",IF(I6&lt;70,"High",IF(I6&lt;85,"Medium","Low"))))</f>
        <v/>
      </c>
      <c r="K6" s="15" t="inlineStr">
        <is>
          <t>2027-03-01</t>
        </is>
      </c>
    </row>
    <row r="7" ht="23.85" customHeight="1" s="11">
      <c r="A7" s="15" t="inlineStr">
        <is>
          <t>V-003</t>
        </is>
      </c>
      <c r="B7" s="15" t="inlineStr">
        <is>
          <t>Okta</t>
        </is>
      </c>
      <c r="C7" s="15" t="inlineStr">
        <is>
          <t>Identity provider / SSO</t>
        </is>
      </c>
      <c r="D7" s="15" t="inlineStr">
        <is>
          <t>Authentication metadata, employee/user identities</t>
        </is>
      </c>
      <c r="E7" s="15" t="inlineStr">
        <is>
          <t>No</t>
        </is>
      </c>
      <c r="F7" s="15" t="inlineStr">
        <is>
          <t>High</t>
        </is>
      </c>
      <c r="G7" s="15" t="inlineStr">
        <is>
          <t>Yes</t>
        </is>
      </c>
      <c r="H7" s="20" t="n">
        <v>45993</v>
      </c>
      <c r="I7" s="15" t="n">
        <v>91</v>
      </c>
      <c r="J7" s="15">
        <f>IF(I7="","Not Assessed",IF(AND(F7="Critical",I7&lt;80),"High",IF(I7&lt;70,"High",IF(I7&lt;85,"Medium","Low"))))</f>
        <v/>
      </c>
      <c r="K7" s="15" t="inlineStr">
        <is>
          <t>2026-11-01</t>
        </is>
      </c>
    </row>
    <row r="8" ht="23.85" customHeight="1" s="11">
      <c r="A8" s="15" t="inlineStr">
        <is>
          <t>V-004</t>
        </is>
      </c>
      <c r="B8" s="15" t="inlineStr">
        <is>
          <t>PayStream Processing</t>
        </is>
      </c>
      <c r="C8" s="15" t="inlineStr">
        <is>
          <t>Payment processing gateway</t>
        </is>
      </c>
      <c r="D8" s="15" t="inlineStr">
        <is>
          <t>Payment card data (tokenized), billing info</t>
        </is>
      </c>
      <c r="E8" s="15" t="inlineStr">
        <is>
          <t>No</t>
        </is>
      </c>
      <c r="F8" s="15" t="inlineStr">
        <is>
          <t>High</t>
        </is>
      </c>
      <c r="G8" s="15" t="inlineStr">
        <is>
          <t>Yes</t>
        </is>
      </c>
      <c r="H8" s="20" t="n">
        <v>45918</v>
      </c>
      <c r="I8" s="15" t="n">
        <v>88</v>
      </c>
      <c r="J8" s="15">
        <f>IF(I8="","Not Assessed",IF(AND(F8="Critical",I8&lt;80),"High",IF(I8&lt;70,"High",IF(I8&lt;85,"Medium","Low"))))</f>
        <v/>
      </c>
      <c r="K8" s="15" t="inlineStr">
        <is>
          <t>2026-09-15</t>
        </is>
      </c>
    </row>
    <row r="9" ht="46.25" customHeight="1" s="11">
      <c r="A9" s="15" t="inlineStr">
        <is>
          <t>V-005</t>
        </is>
      </c>
      <c r="B9" s="15" t="inlineStr">
        <is>
          <t>SendGrid (Twilio)</t>
        </is>
      </c>
      <c r="C9" s="15" t="inlineStr">
        <is>
          <t>Transactional email delivery</t>
        </is>
      </c>
      <c r="D9" s="15" t="inlineStr">
        <is>
          <t>Email addresses, appointment reminders (limited PHI in subject lines)</t>
        </is>
      </c>
      <c r="E9" s="15" t="inlineStr">
        <is>
          <t>Yes</t>
        </is>
      </c>
      <c r="F9" s="15" t="inlineStr">
        <is>
          <t>High</t>
        </is>
      </c>
      <c r="G9" s="15" t="inlineStr">
        <is>
          <t>Yes</t>
        </is>
      </c>
      <c r="H9" s="20" t="n">
        <v>45959</v>
      </c>
      <c r="I9" s="15" t="n">
        <v>79</v>
      </c>
      <c r="J9" s="15">
        <f>IF(I9="","Not Assessed",IF(AND(F9="Critical",I9&lt;80),"High",IF(I9&lt;70,"High",IF(I9&lt;85,"Medium","Low"))))</f>
        <v/>
      </c>
      <c r="K9" s="15" t="inlineStr">
        <is>
          <t>2026-06-30</t>
        </is>
      </c>
    </row>
    <row r="10" ht="23.85" customHeight="1" s="11">
      <c r="A10" s="15" t="inlineStr">
        <is>
          <t>V-006</t>
        </is>
      </c>
      <c r="B10" s="15" t="inlineStr">
        <is>
          <t>DataVault Records Mgmt</t>
        </is>
      </c>
      <c r="C10" s="15" t="inlineStr">
        <is>
          <t>Offsite physical records storage/destruction</t>
        </is>
      </c>
      <c r="D10" s="15" t="inlineStr">
        <is>
          <t>Archived paper PHI records</t>
        </is>
      </c>
      <c r="E10" s="15" t="inlineStr">
        <is>
          <t>Yes</t>
        </is>
      </c>
      <c r="F10" s="15" t="inlineStr">
        <is>
          <t>High</t>
        </is>
      </c>
      <c r="G10" s="15" t="inlineStr">
        <is>
          <t>No</t>
        </is>
      </c>
      <c r="H10" s="20" t="n">
        <v>45890</v>
      </c>
      <c r="I10" s="15" t="n">
        <v>65</v>
      </c>
      <c r="J10" s="15">
        <f>IF(I10="","Not Assessed",IF(AND(F10="Critical",I10&lt;80),"High",IF(I10&lt;70,"High",IF(I10&lt;85,"Medium","Low"))))</f>
        <v/>
      </c>
      <c r="K10" s="15" t="inlineStr">
        <is>
          <t>2026-04-01</t>
        </is>
      </c>
    </row>
    <row r="11" ht="23.85" customHeight="1" s="11">
      <c r="A11" s="15" t="inlineStr">
        <is>
          <t>V-007</t>
        </is>
      </c>
      <c r="B11" s="15" t="inlineStr">
        <is>
          <t>QuickHire Staffing</t>
        </is>
      </c>
      <c r="C11" s="15" t="inlineStr">
        <is>
          <t>Temporary/contract staffing agency</t>
        </is>
      </c>
      <c r="D11" s="15" t="inlineStr">
        <is>
          <t>Employee background info (non-PHI)</t>
        </is>
      </c>
      <c r="E11" s="15" t="inlineStr">
        <is>
          <t>No</t>
        </is>
      </c>
      <c r="F11" s="15" t="inlineStr">
        <is>
          <t>Medium</t>
        </is>
      </c>
      <c r="G11" s="15" t="inlineStr">
        <is>
          <t>No</t>
        </is>
      </c>
      <c r="H11" s="20" t="n">
        <v>45980</v>
      </c>
      <c r="I11" s="15" t="n">
        <v>58</v>
      </c>
      <c r="J11" s="15">
        <f>IF(I11="","Not Assessed",IF(AND(F11="Critical",I11&lt;80),"High",IF(I11&lt;70,"High",IF(I11&lt;85,"Medium","Low"))))</f>
        <v/>
      </c>
      <c r="K11" s="15" t="inlineStr">
        <is>
          <t>2026-08-01</t>
        </is>
      </c>
    </row>
    <row r="12" ht="23.85" customHeight="1" s="11">
      <c r="A12" s="15" t="inlineStr">
        <is>
          <t>V-008</t>
        </is>
      </c>
      <c r="B12" s="15" t="inlineStr">
        <is>
          <t>CleanCo Facilities</t>
        </is>
      </c>
      <c r="C12" s="15" t="inlineStr">
        <is>
          <t>Office cleaning services (after-hours facility access)</t>
        </is>
      </c>
      <c r="D12" s="15" t="inlineStr">
        <is>
          <t>Physical facility access only</t>
        </is>
      </c>
      <c r="E12" s="15" t="inlineStr">
        <is>
          <t>No</t>
        </is>
      </c>
      <c r="F12" s="15" t="inlineStr">
        <is>
          <t>Low</t>
        </is>
      </c>
      <c r="G12" s="15" t="inlineStr">
        <is>
          <t>No</t>
        </is>
      </c>
      <c r="H12" s="15" t="n"/>
      <c r="I12" s="15" t="n"/>
      <c r="J12" s="15">
        <f>IF(I12="","Not Assessed",IF(AND(F12="Critical",I12&lt;80),"High",IF(I12&lt;70,"High",IF(I12&lt;85,"Medium","Low"))))</f>
        <v/>
      </c>
      <c r="K12" s="15" t="inlineStr">
        <is>
          <t>2026-12-01</t>
        </is>
      </c>
    </row>
    <row r="13" ht="23.85" customHeight="1" s="11">
      <c r="A13" s="15" t="inlineStr">
        <is>
          <t>V-009</t>
        </is>
      </c>
      <c r="B13" s="15" t="inlineStr">
        <is>
          <t>Figma Inc.</t>
        </is>
      </c>
      <c r="C13" s="15" t="inlineStr">
        <is>
          <t>Product design collaboration tool</t>
        </is>
      </c>
      <c r="D13" s="15" t="inlineStr">
        <is>
          <t>Product mockups, no PHI</t>
        </is>
      </c>
      <c r="E13" s="15" t="inlineStr">
        <is>
          <t>No</t>
        </is>
      </c>
      <c r="F13" s="15" t="inlineStr">
        <is>
          <t>Low</t>
        </is>
      </c>
      <c r="G13" s="15" t="inlineStr">
        <is>
          <t>Yes</t>
        </is>
      </c>
      <c r="H13" s="20" t="n">
        <v>46034</v>
      </c>
      <c r="I13" s="15" t="n">
        <v>90</v>
      </c>
      <c r="J13" s="15">
        <f>IF(I13="","Not Assessed",IF(AND(F13="Critical",I13&lt;80),"High",IF(I13&lt;70,"High",IF(I13&lt;85,"Medium","Low"))))</f>
        <v/>
      </c>
      <c r="K13" s="15" t="inlineStr">
        <is>
          <t>2027-01-15</t>
        </is>
      </c>
    </row>
    <row r="14" ht="23.85" customHeight="1" s="11">
      <c r="A14" s="15" t="inlineStr">
        <is>
          <t>V-010</t>
        </is>
      </c>
      <c r="B14" s="15" t="inlineStr">
        <is>
          <t>BillWise Revenue Cycle</t>
        </is>
      </c>
      <c r="C14" s="15" t="inlineStr">
        <is>
          <t>Outsourced billing/revenue cycle management</t>
        </is>
      </c>
      <c r="D14" s="15" t="inlineStr">
        <is>
          <t>PHI, billing and claims data</t>
        </is>
      </c>
      <c r="E14" s="15" t="inlineStr">
        <is>
          <t>Yes</t>
        </is>
      </c>
      <c r="F14" s="15" t="inlineStr">
        <is>
          <t>Critical</t>
        </is>
      </c>
      <c r="G14" s="15" t="inlineStr">
        <is>
          <t>Partial (bridge letter only)</t>
        </is>
      </c>
      <c r="H14" s="20" t="n">
        <v>46007</v>
      </c>
      <c r="I14" s="15" t="n">
        <v>71</v>
      </c>
      <c r="J14" s="15">
        <f>IF(I14="","Not Assessed",IF(AND(F14="Critical",I14&lt;80),"High",IF(I14&lt;70,"High",IF(I14&lt;85,"Medium","Low"))))</f>
        <v/>
      </c>
      <c r="K14" s="15" t="inlineStr">
        <is>
          <t>2026-05-01</t>
        </is>
      </c>
    </row>
    <row r="15" ht="35.05" customHeight="1" s="11">
      <c r="A15" s="15" t="inlineStr">
        <is>
          <t>V-011</t>
        </is>
      </c>
      <c r="B15" s="15" t="inlineStr">
        <is>
          <t>Zoom Video Communications</t>
        </is>
      </c>
      <c r="C15" s="15" t="inlineStr">
        <is>
          <t>Video conferencing, incl. telehealth-adjacent internal meetings</t>
        </is>
      </c>
      <c r="D15" s="15" t="inlineStr">
        <is>
          <t>Occasional PHI discussed in meetings (not recorded)</t>
        </is>
      </c>
      <c r="E15" s="15" t="inlineStr">
        <is>
          <t>Yes</t>
        </is>
      </c>
      <c r="F15" s="15" t="inlineStr">
        <is>
          <t>Medium</t>
        </is>
      </c>
      <c r="G15" s="15" t="inlineStr">
        <is>
          <t>Yes</t>
        </is>
      </c>
      <c r="H15" s="20" t="n">
        <v>46057</v>
      </c>
      <c r="I15" s="15" t="n">
        <v>93</v>
      </c>
      <c r="J15" s="15">
        <f>IF(I15="","Not Assessed",IF(AND(F15="Critical",I15&lt;80),"High",IF(I15&lt;70,"High",IF(I15&lt;85,"Medium","Low"))))</f>
        <v/>
      </c>
      <c r="K15" s="15" t="inlineStr">
        <is>
          <t>2027-02-01</t>
        </is>
      </c>
    </row>
  </sheetData>
  <mergeCells count="2">
    <mergeCell ref="A2:K2"/>
    <mergeCell ref="A1:K1"/>
  </mergeCells>
  <conditionalFormatting sqref="J5:J15">
    <cfRule type="expression" rank="0" priority="2" equalAverage="0" aboveAverage="0" dxfId="0" text="" percent="0" bottom="0">
      <formula>J5="High"</formula>
    </cfRule>
    <cfRule type="expression" rank="0" priority="3" equalAverage="0" aboveAverage="0" dxfId="1" text="" percent="0" bottom="0">
      <formula>J5="Medium"</formula>
    </cfRule>
    <cfRule type="expression" rank="0" priority="4" equalAverage="0" aboveAverage="0" dxfId="2" text="" percent="0" bottom="0">
      <formula>J5="Low"</formula>
    </cfRule>
    <cfRule type="expression" rank="0" priority="5" equalAverage="0" aboveAverage="0" dxfId="3" text="" percent="0" bottom="0">
      <formula>J5="Not Assessed"</formula>
    </cfRule>
  </conditionalFormatting>
  <printOptions horizontalCentered="0" verticalCentered="0" headings="0" gridLines="0" gridLinesSet="1"/>
  <pageMargins left="0.25" right="0.25" top="0.35" bottom="0.35" header="0.15" footer="0.15"/>
  <pageSetup orientation="landscape" paperSize="1" scale="100" fitToHeight="0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1"/>
  </sheetPr>
  <dimension ref="A1:D22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6" customWidth="1" style="10" min="1" max="1"/>
    <col width="20" customWidth="1" style="10" min="2" max="2"/>
    <col width="55" customWidth="1" style="10" min="3" max="3"/>
    <col width="45" customWidth="1" style="10" min="4" max="4"/>
  </cols>
  <sheetData>
    <row r="1" ht="19.7" customHeight="1" s="11">
      <c r="A1" s="12" t="inlineStr">
        <is>
          <t>VENDOR SECURITY QUESTIONNAIRE — ClaimLink Corp (V-001)</t>
        </is>
      </c>
    </row>
    <row r="2" ht="15" customHeight="1" s="11">
      <c r="A2" s="13" t="inlineStr">
        <is>
          <t>Completed by vendor point of contact | Reviewed by Vendor Risk Manager | Based on SIG Lite / HECVAT-style structure</t>
        </is>
      </c>
    </row>
    <row r="4" ht="15" customHeight="1" s="11">
      <c r="A4" s="14" t="inlineStr">
        <is>
          <t>#</t>
        </is>
      </c>
      <c r="B4" s="14" t="inlineStr">
        <is>
          <t>Domain</t>
        </is>
      </c>
      <c r="C4" s="14" t="inlineStr">
        <is>
          <t>Question</t>
        </is>
      </c>
      <c r="D4" s="14" t="inlineStr">
        <is>
          <t>Vendor Response</t>
        </is>
      </c>
    </row>
    <row r="5" ht="23.85" customHeight="1" s="11">
      <c r="A5" s="15" t="n">
        <v>1</v>
      </c>
      <c r="B5" s="15" t="inlineStr">
        <is>
          <t>Governance</t>
        </is>
      </c>
      <c r="C5" s="15" t="inlineStr">
        <is>
          <t>Does the organization have a documented, board-approved information security policy reviewed at least annually?</t>
        </is>
      </c>
      <c r="D5" s="15" t="inlineStr">
        <is>
          <t>Yes — policy last reviewed October 2025</t>
        </is>
      </c>
    </row>
    <row r="6" ht="23.85" customHeight="1" s="11">
      <c r="A6" s="15" t="n">
        <v>2</v>
      </c>
      <c r="B6" s="15" t="inlineStr">
        <is>
          <t>Governance</t>
        </is>
      </c>
      <c r="C6" s="15" t="inlineStr">
        <is>
          <t>Is there a designated individual or team responsible for information security (e.g., CISO)?</t>
        </is>
      </c>
      <c r="D6" s="15" t="inlineStr">
        <is>
          <t>Yes — Director of Information Security, reports to COO</t>
        </is>
      </c>
    </row>
    <row r="7" ht="35.05" customHeight="1" s="11">
      <c r="A7" s="15" t="n">
        <v>3</v>
      </c>
      <c r="B7" s="15" t="inlineStr">
        <is>
          <t>Compliance</t>
        </is>
      </c>
      <c r="C7" s="15" t="inlineStr">
        <is>
          <t>Has the organization completed a SOC 2 Type II audit within the last 12 months?</t>
        </is>
      </c>
      <c r="D7" s="15" t="inlineStr">
        <is>
          <t>No — most recent SOC 2 Type II report is dated 18 months ago; renewal in progress, expected completion Q2 2026</t>
        </is>
      </c>
    </row>
    <row r="8" ht="23.85" customHeight="1" s="11">
      <c r="A8" s="15" t="n">
        <v>4</v>
      </c>
      <c r="B8" s="15" t="inlineStr">
        <is>
          <t>Compliance</t>
        </is>
      </c>
      <c r="C8" s="15" t="inlineStr">
        <is>
          <t>Is the organization subject to and compliant with HIPAA as a Business Associate?</t>
        </is>
      </c>
      <c r="D8" s="15" t="inlineStr">
        <is>
          <t>Yes — BAA executed with Meridian Health Analytics; internal HIPAA compliance program in place</t>
        </is>
      </c>
    </row>
    <row r="9" ht="15" customHeight="1" s="11">
      <c r="A9" s="15" t="n">
        <v>5</v>
      </c>
      <c r="B9" s="15" t="inlineStr">
        <is>
          <t>Data Protection</t>
        </is>
      </c>
      <c r="C9" s="15" t="inlineStr">
        <is>
          <t>Is data encrypted at rest using AES-256 or equivalent?</t>
        </is>
      </c>
      <c r="D9" s="15" t="inlineStr">
        <is>
          <t>Yes — all PHI encrypted at rest via AWS KMS</t>
        </is>
      </c>
    </row>
    <row r="10" ht="15" customHeight="1" s="11">
      <c r="A10" s="15" t="n">
        <v>6</v>
      </c>
      <c r="B10" s="15" t="inlineStr">
        <is>
          <t>Data Protection</t>
        </is>
      </c>
      <c r="C10" s="15" t="inlineStr">
        <is>
          <t>Is data encrypted in transit using TLS 1.2 or higher?</t>
        </is>
      </c>
      <c r="D10" s="15" t="inlineStr">
        <is>
          <t>Yes — TLS 1.2 enforced on all external endpoints</t>
        </is>
      </c>
    </row>
    <row r="11" ht="23.85" customHeight="1" s="11">
      <c r="A11" s="15" t="n">
        <v>7</v>
      </c>
      <c r="B11" s="15" t="inlineStr">
        <is>
          <t>Access Control</t>
        </is>
      </c>
      <c r="C11" s="15" t="inlineStr">
        <is>
          <t>Is multi-factor authentication required for all remote and administrative access?</t>
        </is>
      </c>
      <c r="D11" s="15" t="inlineStr">
        <is>
          <t>Yes — MFA enforced via Okta for all employee accounts</t>
        </is>
      </c>
    </row>
    <row r="12" ht="23.85" customHeight="1" s="11">
      <c r="A12" s="15" t="n">
        <v>8</v>
      </c>
      <c r="B12" s="15" t="inlineStr">
        <is>
          <t>Access Control</t>
        </is>
      </c>
      <c r="C12" s="15" t="inlineStr">
        <is>
          <t>Are access reviews performed on a recurring basis (at minimum quarterly)?</t>
        </is>
      </c>
      <c r="D12" s="15" t="inlineStr">
        <is>
          <t>Access reviews performed semi-annually, not quarterly</t>
        </is>
      </c>
    </row>
    <row r="13" ht="23.85" customHeight="1" s="11">
      <c r="A13" s="15" t="n">
        <v>9</v>
      </c>
      <c r="B13" s="15" t="inlineStr">
        <is>
          <t>Incident Response</t>
        </is>
      </c>
      <c r="C13" s="15" t="inlineStr">
        <is>
          <t>Is there a documented incident response plan, and when was it last tested?</t>
        </is>
      </c>
      <c r="D13" s="15" t="inlineStr">
        <is>
          <t>Documented IR plan exists; last tabletop test 14 months ago</t>
        </is>
      </c>
    </row>
    <row r="14" ht="23.85" customHeight="1" s="11">
      <c r="A14" s="15" t="n">
        <v>10</v>
      </c>
      <c r="B14" s="15" t="inlineStr">
        <is>
          <t>Incident Response</t>
        </is>
      </c>
      <c r="C14" s="15" t="inlineStr">
        <is>
          <t>What is the contractual notification timeline in the event of a breach involving our data?</t>
        </is>
      </c>
      <c r="D14" s="15" t="inlineStr">
        <is>
          <t>Vendor contract specifies notification within 5 business days of confirmed breach</t>
        </is>
      </c>
    </row>
    <row r="15" ht="23.85" customHeight="1" s="11">
      <c r="A15" s="15" t="n">
        <v>11</v>
      </c>
      <c r="B15" s="15" t="inlineStr">
        <is>
          <t>Business Continuity</t>
        </is>
      </c>
      <c r="C15" s="15" t="inlineStr">
        <is>
          <t>Is there a documented and tested business continuity / disaster recovery plan?</t>
        </is>
      </c>
      <c r="D15" s="15" t="inlineStr">
        <is>
          <t>BC/DR plan documented; last full test 20 months ago</t>
        </is>
      </c>
    </row>
    <row r="16" ht="35.05" customHeight="1" s="11">
      <c r="A16" s="15" t="n">
        <v>12</v>
      </c>
      <c r="B16" s="15" t="inlineStr">
        <is>
          <t>Subcontractors</t>
        </is>
      </c>
      <c r="C16" s="15" t="inlineStr">
        <is>
          <t>Does the organization use subcontractors (fourth parties) with access to our data, and are they contractually flowed down the same security requirements?</t>
        </is>
      </c>
      <c r="D16" s="15" t="inlineStr">
        <is>
          <t>Yes, one subcontractor (cloud hosting); security requirements flowed down via subcontractor agreement</t>
        </is>
      </c>
    </row>
    <row r="18" ht="15" customHeight="1" s="11">
      <c r="A18" s="16" t="inlineStr">
        <is>
          <t>Assessor Findings</t>
        </is>
      </c>
    </row>
    <row r="19" ht="15" customHeight="1" s="11">
      <c r="A19" s="17" t="inlineStr">
        <is>
          <t>• No current SOC 2 Type II report on file (renewal in progress). ClaimLink's static Inherent Risk Tier (Vendor Inventory) is Critical, reflecting its standing PHI/system access; this finding does not by itself change the calculated Risk Rating, but is the basis for the escalated monitoring recommended below.</t>
        </is>
      </c>
    </row>
    <row r="20" ht="15" customHeight="1" s="11">
      <c r="A20" s="17" t="inlineStr">
        <is>
          <t>• Access reviews at semi-annual cadence fall short of internal quarterly standard for Critical-tier vendors — flagged as a contractual follow-up item.</t>
        </is>
      </c>
    </row>
    <row r="21" ht="15" customHeight="1" s="11">
      <c r="A21" s="17" t="inlineStr">
        <is>
          <t>• BC/DR test cadence (20 months) exceeds internal 12-month expectation for Critical-tier vendors handling PHI.</t>
        </is>
      </c>
    </row>
    <row r="22" ht="23.85" customHeight="1" s="11">
      <c r="A22" s="17" t="inlineStr">
        <is>
          <t>• Overall assessment score: 84/100. Per the documented Risk Rating Logic (Scoring Methodology tab: Critical tier + score &lt; 80 = High; score 70-84 = Medium), the calculated Risk Rating is Medium — distinct from the Critical inherent tier, which reflects data sensitivity rather than current control performance. Given the Critical inherent tier and the missing SOC 2 Type II, the assessor recommends conditional approval pending SOC 2 Type II delivery within 90 days, tracked as Risk R-003 in the enterprise Risk Register, notwithstanding the Medium calculated rating.</t>
        </is>
      </c>
    </row>
  </sheetData>
  <mergeCells count="6">
    <mergeCell ref="A1:D1"/>
    <mergeCell ref="A22:D22"/>
    <mergeCell ref="A20:D20"/>
    <mergeCell ref="A21:D21"/>
    <mergeCell ref="A19:D19"/>
    <mergeCell ref="A2:D2"/>
  </mergeCells>
  <printOptions horizontalCentered="0" verticalCentered="0" headings="0" gridLines="0" gridLinesSet="1"/>
  <pageMargins left="0.25" right="0.25" top="0.35" bottom="0.35" header="0.15" footer="0.15"/>
  <pageSetup orientation="portrait" paperSize="1" scale="100" fitToHeight="0" fitToWidth="1" pageOrder="downThenOver" blackAndWhite="0" draft="0" horizontalDpi="300" verticalDpi="300" copies="1"/>
</worksheet>
</file>

<file path=xl/worksheets/sheet3.xml><?xml version="1.0" encoding="utf-8"?>
<worksheet xmlns="http://schemas.openxmlformats.org/spreadsheetml/2006/main">
  <sheetPr filterMode="0">
    <outlinePr summaryBelow="1" summaryRight="1"/>
    <pageSetUpPr fitToPage="1"/>
  </sheetPr>
  <dimension ref="A1:B7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22" customWidth="1" style="10" min="1" max="1"/>
    <col width="100" customWidth="1" style="10" min="2" max="2"/>
  </cols>
  <sheetData>
    <row r="1" ht="19.7" customHeight="1" s="11">
      <c r="A1" s="12" t="inlineStr">
        <is>
          <t>VENDOR RISK SCORING METHODOLOGY</t>
        </is>
      </c>
    </row>
    <row r="3" ht="23.85" customHeight="1" s="11">
      <c r="A3" s="18" t="inlineStr">
        <is>
          <t>Inherent Risk Tiering</t>
        </is>
      </c>
      <c r="B3" s="17" t="inlineStr">
        <is>
          <t>Critical = PHI/PII + system access | High = sensitive data, no direct PHI | Medium = limited/indirect data exposure | Low = no sensitive data access</t>
        </is>
      </c>
    </row>
    <row r="4" ht="23.85" customHeight="1" s="11">
      <c r="A4" s="18" t="inlineStr">
        <is>
          <t>Assessment Score</t>
        </is>
      </c>
      <c r="B4" s="17" t="inlineStr">
        <is>
          <t>0-100 composite score from security questionnaire responses, weighted toward Data Protection, Access Control, and Compliance domains (40%/30%/30%)</t>
        </is>
      </c>
    </row>
    <row r="5" ht="23.85" customHeight="1" s="11">
      <c r="A5" s="18" t="inlineStr">
        <is>
          <t>Risk Rating Logic</t>
        </is>
      </c>
      <c r="B5" s="17" t="inlineStr">
        <is>
          <t>Critical tier + score &lt; 80 = High risk | Any tier scoring &lt; 70 = High | Score 70-84 = Medium | Score &gt;= 85 = Low | No score on file = Not Assessed</t>
        </is>
      </c>
    </row>
    <row r="6" ht="23.85" customHeight="1" s="11">
      <c r="A6" s="18" t="inlineStr">
        <is>
          <t>Reassessment Cadence</t>
        </is>
      </c>
      <c r="B6" s="17" t="inlineStr">
        <is>
          <t>Critical tier: annually + upon SOC 2 report renewal | High tier: annually | Medium/Low tier: every 18-24 months or upon material service change</t>
        </is>
      </c>
    </row>
    <row r="7" ht="23.85" customHeight="1" s="11">
      <c r="A7" s="18" t="inlineStr">
        <is>
          <t>Escalation</t>
        </is>
      </c>
      <c r="B7" s="17" t="inlineStr">
        <is>
          <t>High-risk vendors require Vendor Risk Manager + Compliance Officer sign-off to continue the relationship, with a documented remediation plan and re-assessment date.</t>
        </is>
      </c>
    </row>
  </sheetData>
  <printOptions horizontalCentered="0" verticalCentered="0" headings="0" gridLines="0" gridLinesSet="1"/>
  <pageMargins left="0.25" right="0.25" top="0.35" bottom="0.35" header="0.15" footer="0.15"/>
  <pageSetup orientation="portrait" paperSize="1" scale="100" fitToHeight="0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2026-08-13T08:46:35Z</dcterms:created>
  <dcterms:modified xmlns:dcterms="http://purl.org/dc/terms/" xmlns:xsi="http://www.w3.org/2001/XMLSchema-instance" xsi:type="dcterms:W3CDTF">2026-09-15T22:42:31Z</dcterms:modified>
  <cp:revision>0</cp:revision>
</cp:coreProperties>
</file>