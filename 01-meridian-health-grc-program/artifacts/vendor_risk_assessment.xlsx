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dor Inventory" sheetId="1" state="visible" r:id="rId3"/>
    <sheet name="Security Questionnaire (V-001)" sheetId="2" state="visible" r:id="rId4"/>
    <sheet name="Scoring Methodolog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<sst xmlns="http://schemas.openxmlformats.org/spreadsheetml/2006/main" count="169" uniqueCount="129">
  <si>
    <t xml:space="preserve">MERIDIAN HEALTH ANALYTICS, INC. — THIRD-PARTY / VENDOR RISK ASSESSMENT</t>
  </si>
  <si>
    <t xml:space="preserve">Sample GRC portfolio artifact | Fictional company | Vendor inventory, risk tiering, and assessment status</t>
  </si>
  <si>
    <t xml:space="preserve">Vendor ID</t>
  </si>
  <si>
    <t xml:space="preserve">Vendor Name</t>
  </si>
  <si>
    <t xml:space="preserve">Service Provided</t>
  </si>
  <si>
    <t xml:space="preserve">Data Accessed</t>
  </si>
  <si>
    <t xml:space="preserve">PHI/PII Access?</t>
  </si>
  <si>
    <t xml:space="preserve">Inherent Risk Tier</t>
  </si>
  <si>
    <t xml:space="preserve">SOC 2 Type II on File?</t>
  </si>
  <si>
    <t xml:space="preserve">Last Assessment Date</t>
  </si>
  <si>
    <t xml:space="preserve">Assessment Score (0-100)</t>
  </si>
  <si>
    <t xml:space="preserve">Risk Rating</t>
  </si>
  <si>
    <t xml:space="preserve">Contract Renewal Date</t>
  </si>
  <si>
    <t xml:space="preserve">V-001</t>
  </si>
  <si>
    <t xml:space="preserve">ClaimLink Corp</t>
  </si>
  <si>
    <t xml:space="preserve">Claims clearinghouse / eligibility verification</t>
  </si>
  <si>
    <t xml:space="preserve">PHI, claims data</t>
  </si>
  <si>
    <t xml:space="preserve">Yes</t>
  </si>
  <si>
    <t xml:space="preserve">Critical</t>
  </si>
  <si>
    <t xml:space="preserve">No</t>
  </si>
  <si>
    <t xml:space="preserve">2025-11-01</t>
  </si>
  <si>
    <t xml:space="preserve">2026-01-15</t>
  </si>
  <si>
    <t xml:space="preserve">V-002</t>
  </si>
  <si>
    <t xml:space="preserve">AWS (Amazon Web Services)</t>
  </si>
  <si>
    <t xml:space="preserve">Cloud infrastructure hosting (IaaS)</t>
  </si>
  <si>
    <t xml:space="preserve">PHI, all production data</t>
  </si>
  <si>
    <t xml:space="preserve">2027-03-01</t>
  </si>
  <si>
    <t xml:space="preserve">V-003</t>
  </si>
  <si>
    <t xml:space="preserve">Okta</t>
  </si>
  <si>
    <t xml:space="preserve">Identity provider / SSO</t>
  </si>
  <si>
    <t xml:space="preserve">Authentication metadata, employee/user identities</t>
  </si>
  <si>
    <t xml:space="preserve">High</t>
  </si>
  <si>
    <t xml:space="preserve">2026-11-01</t>
  </si>
  <si>
    <t xml:space="preserve">V-004</t>
  </si>
  <si>
    <t xml:space="preserve">PayStream Processing</t>
  </si>
  <si>
    <t xml:space="preserve">Payment processing gateway</t>
  </si>
  <si>
    <t xml:space="preserve">Payment card data (tokenized), billing info</t>
  </si>
  <si>
    <t xml:space="preserve">2026-09-15</t>
  </si>
  <si>
    <t xml:space="preserve">V-005</t>
  </si>
  <si>
    <t xml:space="preserve">SendGrid (Twilio)</t>
  </si>
  <si>
    <t xml:space="preserve">Transactional email delivery</t>
  </si>
  <si>
    <t xml:space="preserve">Email addresses, appointment reminders (limited PHI in subject lines)</t>
  </si>
  <si>
    <t xml:space="preserve">2026-06-30</t>
  </si>
  <si>
    <t xml:space="preserve">V-006</t>
  </si>
  <si>
    <t xml:space="preserve">DataVault Records Mgmt</t>
  </si>
  <si>
    <t xml:space="preserve">Offsite physical records storage/destruction</t>
  </si>
  <si>
    <t xml:space="preserve">Archived paper PHI records</t>
  </si>
  <si>
    <t xml:space="preserve">2026-04-01</t>
  </si>
  <si>
    <t xml:space="preserve">V-007</t>
  </si>
  <si>
    <t xml:space="preserve">QuickHire Staffing</t>
  </si>
  <si>
    <t xml:space="preserve">Temporary/contract staffing agency</t>
  </si>
  <si>
    <t xml:space="preserve">Employee background info (non-PHI)</t>
  </si>
  <si>
    <t xml:space="preserve">Medium</t>
  </si>
  <si>
    <t xml:space="preserve">2026-08-01</t>
  </si>
  <si>
    <t xml:space="preserve">V-008</t>
  </si>
  <si>
    <t xml:space="preserve">CleanCo Facilities</t>
  </si>
  <si>
    <t xml:space="preserve">Office cleaning services (after-hours facility access)</t>
  </si>
  <si>
    <t xml:space="preserve">Physical facility access only</t>
  </si>
  <si>
    <t xml:space="preserve">Low</t>
  </si>
  <si>
    <t xml:space="preserve">2026-12-01</t>
  </si>
  <si>
    <t xml:space="preserve">V-009</t>
  </si>
  <si>
    <t xml:space="preserve">Figma Inc.</t>
  </si>
  <si>
    <t xml:space="preserve">Product design collaboration tool</t>
  </si>
  <si>
    <t xml:space="preserve">Product mockups, no PHI</t>
  </si>
  <si>
    <t xml:space="preserve">2027-01-15</t>
  </si>
  <si>
    <t xml:space="preserve">V-010</t>
  </si>
  <si>
    <t xml:space="preserve">BillWise Revenue Cycle</t>
  </si>
  <si>
    <t xml:space="preserve">Outsourced billing/revenue cycle management</t>
  </si>
  <si>
    <t xml:space="preserve">PHI, billing and claims data</t>
  </si>
  <si>
    <t xml:space="preserve">Partial (bridge letter only)</t>
  </si>
  <si>
    <t xml:space="preserve">2026-05-01</t>
  </si>
  <si>
    <t xml:space="preserve">V-011</t>
  </si>
  <si>
    <t xml:space="preserve">Zoom Video Communications</t>
  </si>
  <si>
    <t xml:space="preserve">Video conferencing, incl. telehealth-adjacent internal meetings</t>
  </si>
  <si>
    <t xml:space="preserve">Occasional PHI discussed in meetings (not recorded)</t>
  </si>
  <si>
    <t xml:space="preserve">2027-02-01</t>
  </si>
  <si>
    <t xml:space="preserve">VENDOR SECURITY QUESTIONNAIRE — ClaimLink Corp (V-001)</t>
  </si>
  <si>
    <t xml:space="preserve">Completed by vendor point of contact | Reviewed by Vendor Risk Manager | Based on SIG Lite / HECVAT-style structure</t>
  </si>
  <si>
    <t xml:space="preserve">#</t>
  </si>
  <si>
    <t xml:space="preserve">Domain</t>
  </si>
  <si>
    <t xml:space="preserve">Question</t>
  </si>
  <si>
    <t xml:space="preserve">Vendor Response</t>
  </si>
  <si>
    <t xml:space="preserve">Governance</t>
  </si>
  <si>
    <t xml:space="preserve">Does the organization have a documented, board-approved information security policy reviewed at least annually?</t>
  </si>
  <si>
    <t xml:space="preserve">Yes — policy last reviewed October 2025</t>
  </si>
  <si>
    <t xml:space="preserve">Is there a designated individual or team responsible for information security (e.g., CISO)?</t>
  </si>
  <si>
    <t xml:space="preserve">Yes — Director of Information Security, reports to COO</t>
  </si>
  <si>
    <t xml:space="preserve">Compliance</t>
  </si>
  <si>
    <t xml:space="preserve">Has the organization completed a SOC 2 Type II audit within the last 12 months?</t>
  </si>
  <si>
    <t xml:space="preserve">No — most recent SOC 2 Type II report is dated 18 months ago; renewal in progress, expected completion Q2 2026</t>
  </si>
  <si>
    <t xml:space="preserve">Is the organization subject to and compliant with HIPAA as a Business Associate?</t>
  </si>
  <si>
    <t xml:space="preserve">Yes — BAA executed with Meridian Health Analytics; internal HIPAA compliance program in place</t>
  </si>
  <si>
    <t xml:space="preserve">Data Protection</t>
  </si>
  <si>
    <t xml:space="preserve">Is data encrypted at rest using AES-256 or equivalent?</t>
  </si>
  <si>
    <t xml:space="preserve">Yes — all PHI encrypted at rest via AWS KMS</t>
  </si>
  <si>
    <t xml:space="preserve">Is data encrypted in transit using TLS 1.2 or higher?</t>
  </si>
  <si>
    <t xml:space="preserve">Yes — TLS 1.2 enforced on all external endpoints</t>
  </si>
  <si>
    <t xml:space="preserve">Access Control</t>
  </si>
  <si>
    <t xml:space="preserve">Is multi-factor authentication required for all remote and administrative access?</t>
  </si>
  <si>
    <t xml:space="preserve">Yes — MFA enforced via Okta for all employee accounts</t>
  </si>
  <si>
    <t xml:space="preserve">Are access reviews performed on a recurring basis (at minimum quarterly)?</t>
  </si>
  <si>
    <t xml:space="preserve">Access reviews performed semi-annually, not quarterly</t>
  </si>
  <si>
    <t xml:space="preserve">Incident Response</t>
  </si>
  <si>
    <t xml:space="preserve">Is there a documented incident response plan, and when was it last tested?</t>
  </si>
  <si>
    <t xml:space="preserve">Documented IR plan exists; last tabletop test 14 months ago</t>
  </si>
  <si>
    <t xml:space="preserve">What is the contractual notification timeline in the event of a breach involving our data?</t>
  </si>
  <si>
    <t xml:space="preserve">Vendor contract specifies notification within 5 business days of confirmed breach</t>
  </si>
  <si>
    <t xml:space="preserve">Business Continuity</t>
  </si>
  <si>
    <t xml:space="preserve">Is there a documented and tested business continuity / disaster recovery plan?</t>
  </si>
  <si>
    <t xml:space="preserve">BC/DR plan documented; last full test 20 months ago</t>
  </si>
  <si>
    <t xml:space="preserve">Subcontractors</t>
  </si>
  <si>
    <t xml:space="preserve">Does the organization use subcontractors (fourth parties) with access to our data, and are they contractually flowed down the same security requirements?</t>
  </si>
  <si>
    <t xml:space="preserve">Yes, one subcontractor (cloud hosting); security requirements flowed down via subcontractor agreement</t>
  </si>
  <si>
    <t xml:space="preserve">Assessor Findings</t>
  </si>
  <si>
    <t xml:space="preserve">• No current SOC 2 Type II report on file (renewal in progress) — drives Critical/High risk rating pending receipt.</t>
  </si>
  <si>
    <t xml:space="preserve">• Access reviews at semi-annual cadence fall short of internal quarterly standard for Critical-tier vendors — flagged as a contractual follow-up item.</t>
  </si>
  <si>
    <t xml:space="preserve">• BC/DR test cadence (20 months) exceeds internal 12-month expectation for Critical-tier vendors handling PHI.</t>
  </si>
  <si>
    <t xml:space="preserve">• Overall assessment score: 84/100 (Medium-High). Recommend conditional approval pending SOC 2 Type II delivery within 90 days; tracked as Risk R-003 in the enterprise Risk Register.</t>
  </si>
  <si>
    <t xml:space="preserve">VENDOR RISK SCORING METHODOLOGY</t>
  </si>
  <si>
    <t xml:space="preserve">Inherent Risk Tiering</t>
  </si>
  <si>
    <t xml:space="preserve">Critical = PHI/PII + system access | High = sensitive data, no direct PHI | Medium = limited/indirect data exposure | Low = no sensitive data access</t>
  </si>
  <si>
    <t xml:space="preserve">Assessment Score</t>
  </si>
  <si>
    <t xml:space="preserve">0-100 composite score from security questionnaire responses, weighted toward Data Protection, Access Control, and Compliance domains (40%/30%/30%)</t>
  </si>
  <si>
    <t xml:space="preserve">Risk Rating Logic</t>
  </si>
  <si>
    <t xml:space="preserve">Critical tier + score &lt; 80 = High risk | Any tier scoring &lt; 70 = High | Score 70-84 = Medium | Score &gt;= 85 = Low | No score on file = Not Assessed</t>
  </si>
  <si>
    <t xml:space="preserve">Reassessment Cadence</t>
  </si>
  <si>
    <t xml:space="preserve">Critical tier: annually + upon SOC 2 report renewal | High tier: annually | Medium/Low tier: every 18-24 months or upon material service change</t>
  </si>
  <si>
    <t xml:space="preserve">Escalation</t>
  </si>
  <si>
    <t xml:space="preserve">High-risk vendors require Vendor Risk Manager + Compliance Officer sign-off to continue the relationship, with a documented remediation plan and re-assessment date.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</si>
</sst>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name val="Arial"/>
        <charset val="1"/>
        <family val="0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16"/>
    <col collapsed="false" customWidth="true" hidden="false" outlineLevel="0" max="8" min="8" style="0" width="15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5.0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3.85" hidden="false" customHeight="false" outlineLevel="0" collapsed="false">
      <c r="A5" s="4" t="s">
        <v>13</v>
      </c>
      <c r="B5" s="4" t="s">
        <v>14</v>
      </c>
      <c r="C5" s="4" t="s">
        <v>15</v>
      </c>
      <c r="D5" s="4" t="s">
        <v>16</v>
      </c>
      <c r="E5" s="4" t="s">
        <v>17</v>
      </c>
      <c r="F5" s="4" t="s">
        <v>18</v>
      </c>
      <c r="G5" s="4" t="s">
        <v>19</v>
      </c>
      <c r="H5" s="4" t="s">
        <v>20</v>
      </c>
      <c r="I5" s="4" t="n">
        <v>84</v>
      </c>
      <c r="J5" s="4" t="str">
        <f aca="false">IF(I5="","Not Assessed",IF(AND(F5="Critical",I5&lt;80),"High",IF(I5&lt;70,"High",IF(I5&lt;85,"Medium","Low"))))</f>
        <v>Medium</v>
      </c>
      <c r="K5" s="4" t="s">
        <v>21</v>
      </c>
    </row>
    <row r="6" customFormat="false" ht="23.85" hidden="false" customHeight="false" outlineLevel="0" collapsed="false">
      <c r="A6" s="4" t="s">
        <v>22</v>
      </c>
      <c r="B6" s="4" t="s">
        <v>23</v>
      </c>
      <c r="C6" s="4" t="s">
        <v>24</v>
      </c>
      <c r="D6" s="4" t="s">
        <v>25</v>
      </c>
      <c r="E6" s="4" t="s">
        <v>17</v>
      </c>
      <c r="F6" s="4" t="s">
        <v>18</v>
      </c>
      <c r="G6" s="4" t="s">
        <v>17</v>
      </c>
      <c r="H6" s="4" t="s">
        <v>20</v>
      </c>
      <c r="I6" s="4" t="n">
        <v>96</v>
      </c>
      <c r="J6" s="4" t="str">
        <f aca="false">IF(I6="","Not Assessed",IF(AND(F6="Critical",I6&lt;80),"High",IF(I6&lt;70,"High",IF(I6&lt;85,"Medium","Low"))))</f>
        <v>Low</v>
      </c>
      <c r="K6" s="4" t="s">
        <v>26</v>
      </c>
    </row>
    <row r="7" customFormat="false" ht="23.85" hidden="false" customHeight="false" outlineLevel="0" collapsed="false">
      <c r="A7" s="4" t="s">
        <v>27</v>
      </c>
      <c r="B7" s="4" t="s">
        <v>28</v>
      </c>
      <c r="C7" s="4" t="s">
        <v>29</v>
      </c>
      <c r="D7" s="4" t="s">
        <v>30</v>
      </c>
      <c r="E7" s="4" t="s">
        <v>19</v>
      </c>
      <c r="F7" s="4" t="s">
        <v>31</v>
      </c>
      <c r="G7" s="4" t="s">
        <v>17</v>
      </c>
      <c r="H7" s="4" t="s">
        <v>20</v>
      </c>
      <c r="I7" s="4" t="n">
        <v>91</v>
      </c>
      <c r="J7" s="4" t="str">
        <f aca="false">IF(I7="","Not Assessed",IF(AND(F7="Critical",I7&lt;80),"High",IF(I7&lt;70,"High",IF(I7&lt;85,"Medium","Low"))))</f>
        <v>Low</v>
      </c>
      <c r="K7" s="4" t="s">
        <v>32</v>
      </c>
    </row>
    <row r="8" customFormat="false" ht="23.85" hidden="false" customHeight="false" outlineLevel="0" collapsed="false">
      <c r="A8" s="4" t="s">
        <v>33</v>
      </c>
      <c r="B8" s="4" t="s">
        <v>34</v>
      </c>
      <c r="C8" s="4" t="s">
        <v>35</v>
      </c>
      <c r="D8" s="4" t="s">
        <v>36</v>
      </c>
      <c r="E8" s="4" t="s">
        <v>19</v>
      </c>
      <c r="F8" s="4" t="s">
        <v>31</v>
      </c>
      <c r="G8" s="4" t="s">
        <v>17</v>
      </c>
      <c r="H8" s="4" t="s">
        <v>20</v>
      </c>
      <c r="I8" s="4" t="n">
        <v>88</v>
      </c>
      <c r="J8" s="4" t="str">
        <f aca="false">IF(I8="","Not Assessed",IF(AND(F8="Critical",I8&lt;80),"High",IF(I8&lt;70,"High",IF(I8&lt;85,"Medium","Low"))))</f>
        <v>Low</v>
      </c>
      <c r="K8" s="4" t="s">
        <v>37</v>
      </c>
    </row>
    <row r="9" customFormat="false" ht="46.25" hidden="false" customHeight="false" outlineLevel="0" collapsed="false">
      <c r="A9" s="4" t="s">
        <v>38</v>
      </c>
      <c r="B9" s="4" t="s">
        <v>39</v>
      </c>
      <c r="C9" s="4" t="s">
        <v>40</v>
      </c>
      <c r="D9" s="4" t="s">
        <v>41</v>
      </c>
      <c r="E9" s="4" t="s">
        <v>17</v>
      </c>
      <c r="F9" s="4" t="s">
        <v>31</v>
      </c>
      <c r="G9" s="4" t="s">
        <v>17</v>
      </c>
      <c r="H9" s="4" t="s">
        <v>20</v>
      </c>
      <c r="I9" s="4" t="n">
        <v>79</v>
      </c>
      <c r="J9" s="4" t="str">
        <f aca="false">IF(I9="","Not Assessed",IF(AND(F9="Critical",I9&lt;80),"High",IF(I9&lt;70,"High",IF(I9&lt;85,"Medium","Low"))))</f>
        <v>Medium</v>
      </c>
      <c r="K9" s="4" t="s">
        <v>42</v>
      </c>
    </row>
    <row r="10" customFormat="false" ht="23.85" hidden="false" customHeight="false" outlineLevel="0" collapsed="false">
      <c r="A10" s="4" t="s">
        <v>43</v>
      </c>
      <c r="B10" s="4" t="s">
        <v>44</v>
      </c>
      <c r="C10" s="4" t="s">
        <v>45</v>
      </c>
      <c r="D10" s="4" t="s">
        <v>46</v>
      </c>
      <c r="E10" s="4" t="s">
        <v>17</v>
      </c>
      <c r="F10" s="4" t="s">
        <v>31</v>
      </c>
      <c r="G10" s="4" t="s">
        <v>19</v>
      </c>
      <c r="H10" s="4" t="s">
        <v>20</v>
      </c>
      <c r="I10" s="4" t="n">
        <v>65</v>
      </c>
      <c r="J10" s="4" t="str">
        <f aca="false">IF(I10="","Not Assessed",IF(AND(F10="Critical",I10&lt;80),"High",IF(I10&lt;70,"High",IF(I10&lt;85,"Medium","Low"))))</f>
        <v>High</v>
      </c>
      <c r="K10" s="4" t="s">
        <v>47</v>
      </c>
    </row>
    <row r="11" customFormat="false" ht="23.85" hidden="false" customHeight="false" outlineLevel="0" collapsed="false">
      <c r="A11" s="4" t="s">
        <v>48</v>
      </c>
      <c r="B11" s="4" t="s">
        <v>49</v>
      </c>
      <c r="C11" s="4" t="s">
        <v>50</v>
      </c>
      <c r="D11" s="4" t="s">
        <v>51</v>
      </c>
      <c r="E11" s="4" t="s">
        <v>19</v>
      </c>
      <c r="F11" s="4" t="s">
        <v>52</v>
      </c>
      <c r="G11" s="4" t="s">
        <v>19</v>
      </c>
      <c r="H11" s="4" t="s">
        <v>20</v>
      </c>
      <c r="I11" s="4" t="n">
        <v>58</v>
      </c>
      <c r="J11" s="4" t="str">
        <f aca="false">IF(I11="","Not Assessed",IF(AND(F11="Critical",I11&lt;80),"High",IF(I11&lt;70,"High",IF(I11&lt;85,"Medium","Low"))))</f>
        <v>High</v>
      </c>
      <c r="K11" s="4" t="s">
        <v>53</v>
      </c>
    </row>
    <row r="12" customFormat="false" ht="23.85" hidden="false" customHeight="false" outlineLevel="0" collapsed="false">
      <c r="A12" s="4" t="s">
        <v>54</v>
      </c>
      <c r="B12" s="4" t="s">
        <v>55</v>
      </c>
      <c r="C12" s="4" t="s">
        <v>56</v>
      </c>
      <c r="D12" s="4" t="s">
        <v>57</v>
      </c>
      <c r="E12" s="4" t="s">
        <v>19</v>
      </c>
      <c r="F12" s="4" t="s">
        <v>58</v>
      </c>
      <c r="G12" s="4" t="s">
        <v>19</v>
      </c>
      <c r="H12" s="4"/>
      <c r="I12" s="4"/>
      <c r="J12" s="4" t="str">
        <f aca="false">IF(I12="","Not Assessed",IF(AND(F12="Critical",I12&lt;80),"High",IF(I12&lt;70,"High",IF(I12&lt;85,"Medium","Low"))))</f>
        <v>Not Assessed</v>
      </c>
      <c r="K12" s="4" t="s">
        <v>59</v>
      </c>
    </row>
    <row r="13" customFormat="false" ht="23.85" hidden="false" customHeight="false" outlineLevel="0" collapsed="false">
      <c r="A13" s="4" t="s">
        <v>60</v>
      </c>
      <c r="B13" s="4" t="s">
        <v>61</v>
      </c>
      <c r="C13" s="4" t="s">
        <v>62</v>
      </c>
      <c r="D13" s="4" t="s">
        <v>63</v>
      </c>
      <c r="E13" s="4" t="s">
        <v>19</v>
      </c>
      <c r="F13" s="4" t="s">
        <v>58</v>
      </c>
      <c r="G13" s="4" t="s">
        <v>17</v>
      </c>
      <c r="H13" s="4" t="s">
        <v>20</v>
      </c>
      <c r="I13" s="4" t="n">
        <v>90</v>
      </c>
      <c r="J13" s="4" t="str">
        <f aca="false">IF(I13="","Not Assessed",IF(AND(F13="Critical",I13&lt;80),"High",IF(I13&lt;70,"High",IF(I13&lt;85,"Medium","Low"))))</f>
        <v>Low</v>
      </c>
      <c r="K13" s="4" t="s">
        <v>64</v>
      </c>
    </row>
    <row r="14" customFormat="false" ht="23.85" hidden="false" customHeight="false" outlineLevel="0" collapsed="false">
      <c r="A14" s="4" t="s">
        <v>65</v>
      </c>
      <c r="B14" s="4" t="s">
        <v>66</v>
      </c>
      <c r="C14" s="4" t="s">
        <v>67</v>
      </c>
      <c r="D14" s="4" t="s">
        <v>68</v>
      </c>
      <c r="E14" s="4" t="s">
        <v>17</v>
      </c>
      <c r="F14" s="4" t="s">
        <v>18</v>
      </c>
      <c r="G14" s="4" t="s">
        <v>69</v>
      </c>
      <c r="H14" s="4" t="s">
        <v>20</v>
      </c>
      <c r="I14" s="4" t="n">
        <v>71</v>
      </c>
      <c r="J14" s="4" t="str">
        <f aca="false">IF(I14="","Not Assessed",IF(AND(F14="Critical",I14&lt;80),"High",IF(I14&lt;70,"High",IF(I14&lt;85,"Medium","Low"))))</f>
        <v>High</v>
      </c>
      <c r="K14" s="4" t="s">
        <v>70</v>
      </c>
    </row>
    <row r="15" customFormat="false" ht="35.05" hidden="false" customHeight="false" outlineLevel="0" collapsed="false">
      <c r="A15" s="4" t="s">
        <v>71</v>
      </c>
      <c r="B15" s="4" t="s">
        <v>72</v>
      </c>
      <c r="C15" s="4" t="s">
        <v>73</v>
      </c>
      <c r="D15" s="4" t="s">
        <v>74</v>
      </c>
      <c r="E15" s="4" t="s">
        <v>17</v>
      </c>
      <c r="F15" s="4" t="s">
        <v>52</v>
      </c>
      <c r="G15" s="4" t="s">
        <v>17</v>
      </c>
      <c r="H15" s="4" t="s">
        <v>20</v>
      </c>
      <c r="I15" s="4" t="n">
        <v>93</v>
      </c>
      <c r="J15" s="4" t="str">
        <f aca="false">IF(I15="","Not Assessed",IF(AND(F15="Critical",I15&lt;80),"High",IF(I15&lt;70,"High",IF(I15&lt;85,"Medium","Low"))))</f>
        <v>Low</v>
      </c>
      <c r="K15" s="4" t="s">
        <v>75</v>
      </c>
    </row>
  </sheetData>
  <mergeCells count="2">
    <mergeCell ref="A1:K1"/>
    <mergeCell ref="A2:K2"/>
  </mergeCells>
  <conditionalFormatting sqref="J5:J15">
    <cfRule type="expression" priority="2" aboveAverage="0" equalAverage="0" bottom="0" percent="0" rank="0" text="" dxfId="0">
      <formula>J5="High"</formula>
    </cfRule>
    <cfRule type="expression" priority="3" aboveAverage="0" equalAverage="0" bottom="0" percent="0" rank="0" text="" dxfId="1">
      <formula>J5="Medium"</formula>
    </cfRule>
    <cfRule type="expression" priority="4" aboveAverage="0" equalAverage="0" bottom="0" percent="0" rank="0" text="" dxfId="2">
      <formula>J5="Low"</formula>
    </cfRule>
    <cfRule type="expression" priority="5" aboveAverage="0" equalAverage="0" bottom="0" percent="0" rank="0" text="" dxfId="3">
      <formula>J5="Not Assessed"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55"/>
    <col collapsed="false" customWidth="true" hidden="false" outlineLevel="0" max="4" min="4" style="0" width="45"/>
  </cols>
  <sheetData>
    <row r="1" customFormat="false" ht="19.7" hidden="false" customHeight="false" outlineLevel="0" collapsed="false">
      <c r="A1" s="1" t="s">
        <v>76</v>
      </c>
      <c r="B1" s="1"/>
      <c r="C1" s="1"/>
      <c r="D1" s="1"/>
    </row>
    <row r="2" customFormat="false" ht="15" hidden="false" customHeight="false" outlineLevel="0" collapsed="false">
      <c r="A2" s="2" t="s">
        <v>77</v>
      </c>
      <c r="B2" s="2"/>
      <c r="C2" s="2"/>
      <c r="D2" s="2"/>
    </row>
    <row r="4" customFormat="false" ht="15" hidden="false" customHeight="false" outlineLevel="0" collapsed="false">
      <c r="A4" s="3" t="s">
        <v>78</v>
      </c>
      <c r="B4" s="3" t="s">
        <v>79</v>
      </c>
      <c r="C4" s="3" t="s">
        <v>80</v>
      </c>
      <c r="D4" s="3" t="s">
        <v>81</v>
      </c>
    </row>
    <row r="5" customFormat="false" ht="23.85" hidden="false" customHeight="false" outlineLevel="0" collapsed="false">
      <c r="A5" s="4" t="n">
        <v>1</v>
      </c>
      <c r="B5" s="4" t="s">
        <v>82</v>
      </c>
      <c r="C5" s="4" t="s">
        <v>83</v>
      </c>
      <c r="D5" s="4" t="s">
        <v>84</v>
      </c>
    </row>
    <row r="6" customFormat="false" ht="23.85" hidden="false" customHeight="false" outlineLevel="0" collapsed="false">
      <c r="A6" s="4" t="n">
        <v>2</v>
      </c>
      <c r="B6" s="4" t="s">
        <v>82</v>
      </c>
      <c r="C6" s="4" t="s">
        <v>85</v>
      </c>
      <c r="D6" s="4" t="s">
        <v>86</v>
      </c>
    </row>
    <row r="7" customFormat="false" ht="35.05" hidden="false" customHeight="false" outlineLevel="0" collapsed="false">
      <c r="A7" s="4" t="n">
        <v>3</v>
      </c>
      <c r="B7" s="4" t="s">
        <v>87</v>
      </c>
      <c r="C7" s="4" t="s">
        <v>88</v>
      </c>
      <c r="D7" s="4" t="s">
        <v>89</v>
      </c>
    </row>
    <row r="8" customFormat="false" ht="23.85" hidden="false" customHeight="false" outlineLevel="0" collapsed="false">
      <c r="A8" s="4" t="n">
        <v>4</v>
      </c>
      <c r="B8" s="4" t="s">
        <v>87</v>
      </c>
      <c r="C8" s="4" t="s">
        <v>90</v>
      </c>
      <c r="D8" s="4" t="s">
        <v>91</v>
      </c>
    </row>
    <row r="9" customFormat="false" ht="15" hidden="false" customHeight="false" outlineLevel="0" collapsed="false">
      <c r="A9" s="4" t="n">
        <v>5</v>
      </c>
      <c r="B9" s="4" t="s">
        <v>92</v>
      </c>
      <c r="C9" s="4" t="s">
        <v>93</v>
      </c>
      <c r="D9" s="4" t="s">
        <v>94</v>
      </c>
    </row>
    <row r="10" customFormat="false" ht="15" hidden="false" customHeight="false" outlineLevel="0" collapsed="false">
      <c r="A10" s="4" t="n">
        <v>6</v>
      </c>
      <c r="B10" s="4" t="s">
        <v>92</v>
      </c>
      <c r="C10" s="4" t="s">
        <v>95</v>
      </c>
      <c r="D10" s="4" t="s">
        <v>96</v>
      </c>
    </row>
    <row r="11" customFormat="false" ht="23.85" hidden="false" customHeight="false" outlineLevel="0" collapsed="false">
      <c r="A11" s="4" t="n">
        <v>7</v>
      </c>
      <c r="B11" s="4" t="s">
        <v>97</v>
      </c>
      <c r="C11" s="4" t="s">
        <v>98</v>
      </c>
      <c r="D11" s="4" t="s">
        <v>99</v>
      </c>
    </row>
    <row r="12" customFormat="false" ht="23.85" hidden="false" customHeight="false" outlineLevel="0" collapsed="false">
      <c r="A12" s="4" t="n">
        <v>8</v>
      </c>
      <c r="B12" s="4" t="s">
        <v>97</v>
      </c>
      <c r="C12" s="4" t="s">
        <v>100</v>
      </c>
      <c r="D12" s="4" t="s">
        <v>101</v>
      </c>
    </row>
    <row r="13" customFormat="false" ht="23.85" hidden="false" customHeight="false" outlineLevel="0" collapsed="false">
      <c r="A13" s="4" t="n">
        <v>9</v>
      </c>
      <c r="B13" s="4" t="s">
        <v>102</v>
      </c>
      <c r="C13" s="4" t="s">
        <v>103</v>
      </c>
      <c r="D13" s="4" t="s">
        <v>104</v>
      </c>
    </row>
    <row r="14" customFormat="false" ht="23.85" hidden="false" customHeight="false" outlineLevel="0" collapsed="false">
      <c r="A14" s="4" t="n">
        <v>10</v>
      </c>
      <c r="B14" s="4" t="s">
        <v>102</v>
      </c>
      <c r="C14" s="4" t="s">
        <v>105</v>
      </c>
      <c r="D14" s="4" t="s">
        <v>106</v>
      </c>
    </row>
    <row r="15" customFormat="false" ht="23.85" hidden="false" customHeight="false" outlineLevel="0" collapsed="false">
      <c r="A15" s="4" t="n">
        <v>11</v>
      </c>
      <c r="B15" s="4" t="s">
        <v>107</v>
      </c>
      <c r="C15" s="4" t="s">
        <v>108</v>
      </c>
      <c r="D15" s="4" t="s">
        <v>109</v>
      </c>
    </row>
    <row r="16" customFormat="false" ht="35.05" hidden="false" customHeight="false" outlineLevel="0" collapsed="false">
      <c r="A16" s="4" t="n">
        <v>12</v>
      </c>
      <c r="B16" s="4" t="s">
        <v>110</v>
      </c>
      <c r="C16" s="4" t="s">
        <v>111</v>
      </c>
      <c r="D16" s="4" t="s">
        <v>112</v>
      </c>
    </row>
    <row r="18" customFormat="false" ht="15" hidden="false" customHeight="false" outlineLevel="0" collapsed="false">
      <c r="A18" s="5" t="s">
        <v>113</v>
      </c>
    </row>
    <row r="19" customFormat="false" ht="15" hidden="false" customHeight="true" outlineLevel="0" collapsed="false">
      <c r="A19" s="6" t="s">
        <v>114</v>
      </c>
      <c r="B19" s="6"/>
      <c r="C19" s="6"/>
      <c r="D19" s="6"/>
    </row>
    <row r="20" customFormat="false" ht="15" hidden="false" customHeight="true" outlineLevel="0" collapsed="false">
      <c r="A20" s="6" t="s">
        <v>115</v>
      </c>
      <c r="B20" s="6"/>
      <c r="C20" s="6"/>
      <c r="D20" s="6"/>
    </row>
    <row r="21" customFormat="false" ht="15" hidden="false" customHeight="true" outlineLevel="0" collapsed="false">
      <c r="A21" s="6" t="s">
        <v>116</v>
      </c>
      <c r="B21" s="6"/>
      <c r="C21" s="6"/>
      <c r="D21" s="6"/>
    </row>
    <row r="22" customFormat="false" ht="23.85" hidden="false" customHeight="true" outlineLevel="0" collapsed="false">
      <c r="A22" s="6" t="s">
        <v>117</v>
      </c>
      <c r="B22" s="6"/>
      <c r="C22" s="6"/>
      <c r="D22" s="6"/>
    </row>
  </sheetData>
  <mergeCells count="6">
    <mergeCell ref="A1:D1"/>
    <mergeCell ref="A2:D2"/>
    <mergeCell ref="A19:D19"/>
    <mergeCell ref="A20:D20"/>
    <mergeCell ref="A21:D21"/>
    <mergeCell ref="A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7" t="s">
        <v>118</v>
      </c>
    </row>
    <row r="3" customFormat="false" ht="23.85" hidden="false" customHeight="false" outlineLevel="0" collapsed="false">
      <c r="A3" s="8" t="s">
        <v>119</v>
      </c>
      <c r="B3" s="9" t="s">
        <v>120</v>
      </c>
    </row>
    <row r="4" customFormat="false" ht="23.85" hidden="false" customHeight="false" outlineLevel="0" collapsed="false">
      <c r="A4" s="8" t="s">
        <v>121</v>
      </c>
      <c r="B4" s="9" t="s">
        <v>122</v>
      </c>
    </row>
    <row r="5" customFormat="false" ht="23.85" hidden="false" customHeight="false" outlineLevel="0" collapsed="false">
      <c r="A5" s="8" t="s">
        <v>123</v>
      </c>
      <c r="B5" s="9" t="s">
        <v>124</v>
      </c>
    </row>
    <row r="6" customFormat="false" ht="23.85" hidden="false" customHeight="false" outlineLevel="0" collapsed="false">
      <c r="A6" s="8" t="s">
        <v>125</v>
      </c>
      <c r="B6" s="9" t="s">
        <v>126</v>
      </c>
    </row>
    <row r="7" customFormat="false" ht="23.85" hidden="false" customHeight="false" outlineLevel="0" collapsed="false">
      <c r="A7" s="8" t="s">
        <v>127</v>
      </c>
      <c r="B7" s="9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2026-08-13T08:46:35Z</dcterms:created>
  <dc:creator>openpyxl</dc:creator>
  <dc:description/>
  <dc:language>en-US</dc:language>
  <cp:lastModifiedBy/>
  <dcterms:modified xsi:type="dcterms:W3CDTF">2026-08-13T08:46:35Z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