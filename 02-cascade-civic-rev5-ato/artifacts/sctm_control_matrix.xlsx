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TM" sheetId="1" state="visible" r:id="rId3"/>
    <sheet name="Control Summary" sheetId="2" state="visible" r:id="rId4"/>
    <sheet name="Legend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<sst xmlns="http://schemas.openxmlformats.org/spreadsheetml/2006/main" count="322" uniqueCount="158">
  <si>
    <t xml:space="preserve">CASCADE CIVIC SYSTEMS, INC. — SECURITY CONTROLS TRACEABILITY MATRIX (SCTM)</t>
  </si>
  <si>
    <t xml:space="preserve">GrantBridge Platform (SaaS) | FedRAMP Moderate Baseline | NIST SP 800-53 Rev. 5 | Sample GRC portfolio artifact — fictional company</t>
  </si>
  <si>
    <t xml:space="preserve">Control ID</t>
  </si>
  <si>
    <t xml:space="preserve">Control Family</t>
  </si>
  <si>
    <t xml:space="preserve">Control Name</t>
  </si>
  <si>
    <t xml:space="preserve">Baseline</t>
  </si>
  <si>
    <t xml:space="preserve">Implementation Status</t>
  </si>
  <si>
    <t xml:space="preserve">Control Origination</t>
  </si>
  <si>
    <t xml:space="preserve">Implementation Summary</t>
  </si>
  <si>
    <t xml:space="preserve">Assessment Method</t>
  </si>
  <si>
    <t xml:space="preserve">Assessment Result</t>
  </si>
  <si>
    <t xml:space="preserve">Related POA&amp;M ID</t>
  </si>
  <si>
    <t xml:space="preserve">AC-2</t>
  </si>
  <si>
    <t xml:space="preserve">Access Control</t>
  </si>
  <si>
    <t xml:space="preserve">Account Management</t>
  </si>
  <si>
    <t xml:space="preserve">Moderate</t>
  </si>
  <si>
    <t xml:space="preserve">Implemented</t>
  </si>
  <si>
    <t xml:space="preserve">Service Provider Corporate</t>
  </si>
  <si>
    <t xml:space="preserve">Accounts provisioned via Okta tied to HRIS events; privileged accounts require manager + system owner approval; automated disable at 35 days inactivity.</t>
  </si>
  <si>
    <t xml:space="preserve">Examine, Interview</t>
  </si>
  <si>
    <t xml:space="preserve">Satisfied</t>
  </si>
  <si>
    <t xml:space="preserve">AC-2(1)</t>
  </si>
  <si>
    <t xml:space="preserve">Automated System Account Management</t>
  </si>
  <si>
    <t xml:space="preserve">Okta Lifecycle Management automates provisioning/deprovisioning; API-driven, no manual account creation in production.</t>
  </si>
  <si>
    <t xml:space="preserve">Examine, Test</t>
  </si>
  <si>
    <t xml:space="preserve">AC-6(9)</t>
  </si>
  <si>
    <t xml:space="preserve">Log Use of Privileged Functions</t>
  </si>
  <si>
    <t xml:space="preserve">Partially Implemented</t>
  </si>
  <si>
    <t xml:space="preserve">Service Provider System-Specific</t>
  </si>
  <si>
    <t xml:space="preserve">Privileged actions logged in CloudTrail and forwarded to SIEM; logging coverage gap identified on legacy reporting subsystem.</t>
  </si>
  <si>
    <t xml:space="preserve">Other Than Satisfied</t>
  </si>
  <si>
    <t xml:space="preserve">V-003</t>
  </si>
  <si>
    <t xml:space="preserve">AC-17</t>
  </si>
  <si>
    <t xml:space="preserve">Remote Access</t>
  </si>
  <si>
    <t xml:space="preserve">All remote administrative access requires MFA and traverses a bastion host with session recording; direct SSH from internet is blocked by SCP.</t>
  </si>
  <si>
    <t xml:space="preserve">AU-2</t>
  </si>
  <si>
    <t xml:space="preserve">Audit and Accountability</t>
  </si>
  <si>
    <t xml:space="preserve">Event Logging</t>
  </si>
  <si>
    <t xml:space="preserve">Auditable event list documented and approved; covers authentication, authorization, data access, configuration change, and privilege escalation events.</t>
  </si>
  <si>
    <t xml:space="preserve">AU-6</t>
  </si>
  <si>
    <t xml:space="preserve">Audit Record Review, Analysis, and Reporting</t>
  </si>
  <si>
    <t xml:space="preserve">SIEM correlation rules deployed; documented weekly review procedure exists but review evidence was inconsistent for a two-month period.</t>
  </si>
  <si>
    <t xml:space="preserve">V-005</t>
  </si>
  <si>
    <t xml:space="preserve">AU-11</t>
  </si>
  <si>
    <t xml:space="preserve">Audit Record Retention</t>
  </si>
  <si>
    <t xml:space="preserve">Audit records retained online for 90 days and in S3 Glacier for 12 months, meeting FedRAMP retention requirements.</t>
  </si>
  <si>
    <t xml:space="preserve">Examine</t>
  </si>
  <si>
    <t xml:space="preserve">CA-7</t>
  </si>
  <si>
    <t xml:space="preserve">Assessment, Authorization, and Monitoring</t>
  </si>
  <si>
    <t xml:space="preserve">Continuous Monitoring</t>
  </si>
  <si>
    <t xml:space="preserve">ConMon program documented with monthly vulnerability scanning and reporting; monthly deliverable submitted late in two of the last six cycles.</t>
  </si>
  <si>
    <t xml:space="preserve">V-007</t>
  </si>
  <si>
    <t xml:space="preserve">CM-2</t>
  </si>
  <si>
    <t xml:space="preserve">Configuration Management</t>
  </si>
  <si>
    <t xml:space="preserve">Baseline Configuration</t>
  </si>
  <si>
    <t xml:space="preserve">Infrastructure defined as code (Terraform); AMIs hardened to CIS Level 1 benchmark and version-controlled.</t>
  </si>
  <si>
    <t xml:space="preserve">CM-6</t>
  </si>
  <si>
    <t xml:space="preserve">Configuration Settings</t>
  </si>
  <si>
    <t xml:space="preserve">CIS benchmark applied to compute baseline; drift detected on three application servers during assessment sampling.</t>
  </si>
  <si>
    <t xml:space="preserve">Test</t>
  </si>
  <si>
    <t xml:space="preserve">V-002</t>
  </si>
  <si>
    <t xml:space="preserve">CM-7</t>
  </si>
  <si>
    <t xml:space="preserve">Least Functionality</t>
  </si>
  <si>
    <t xml:space="preserve">Container images built from minimal base images; unnecessary services and ports disabled by default and enforced via admission controller.</t>
  </si>
  <si>
    <t xml:space="preserve">CP-9</t>
  </si>
  <si>
    <t xml:space="preserve">Contingency Planning</t>
  </si>
  <si>
    <t xml:space="preserve">System Backup</t>
  </si>
  <si>
    <t xml:space="preserve">Automated encrypted backups: database PITR (5-min RPO) plus daily full snapshots replicated cross-region.</t>
  </si>
  <si>
    <t xml:space="preserve">CP-10</t>
  </si>
  <si>
    <t xml:space="preserve">System Recovery and Reconstitution</t>
  </si>
  <si>
    <t xml:space="preserve">Recovery procedures documented; full-system recovery has not been exercised within the required annual period.</t>
  </si>
  <si>
    <t xml:space="preserve">V-004</t>
  </si>
  <si>
    <t xml:space="preserve">IA-2(1)</t>
  </si>
  <si>
    <t xml:space="preserve">Identification and Authentication</t>
  </si>
  <si>
    <t xml:space="preserve">MFA to Privileged Accounts</t>
  </si>
  <si>
    <t xml:space="preserve">Phishing-resistant MFA (FIDO2/WebAuthn) enforced for all privileged accounts via Okta policy.</t>
  </si>
  <si>
    <t xml:space="preserve">IA-5</t>
  </si>
  <si>
    <t xml:space="preserve">Authenticator Management</t>
  </si>
  <si>
    <t xml:space="preserve">Password policy aligned to NIST SP 800-63B; no forced periodic rotation, breached-password screening enabled.</t>
  </si>
  <si>
    <t xml:space="preserve">IR-4</t>
  </si>
  <si>
    <t xml:space="preserve">Incident Response</t>
  </si>
  <si>
    <t xml:space="preserve">Incident Handling</t>
  </si>
  <si>
    <t xml:space="preserve">Documented IR plan with defined severity tiers; 24x7 on-call rotation; US-CERT reporting procedure defined per FedRAMP requirements.</t>
  </si>
  <si>
    <t xml:space="preserve">IR-6</t>
  </si>
  <si>
    <t xml:space="preserve">Incident Reporting</t>
  </si>
  <si>
    <t xml:space="preserve">Internal reporting path defined; the one-hour US-CERT/FedRAMP ISSO notification requirement is documented but has not been exercised in a tabletop.</t>
  </si>
  <si>
    <t xml:space="preserve">V-006</t>
  </si>
  <si>
    <t xml:space="preserve">RA-5</t>
  </si>
  <si>
    <t xml:space="preserve">Risk Assessment</t>
  </si>
  <si>
    <t xml:space="preserve">Vulnerability Monitoring and Scanning</t>
  </si>
  <si>
    <t xml:space="preserve">Authenticated scanning performed monthly on infrastructure, OS, web, and database layers; several High findings exceeded the 30-day FedRAMP remediation window.</t>
  </si>
  <si>
    <t xml:space="preserve">V-001</t>
  </si>
  <si>
    <t xml:space="preserve">SA-11</t>
  </si>
  <si>
    <t xml:space="preserve">System and Services Acquisition</t>
  </si>
  <si>
    <t xml:space="preserve">Developer Testing and Evaluation</t>
  </si>
  <si>
    <t xml:space="preserve">SAST and dependency scanning enforced in CI; annual third-party penetration test performed with findings tracked to closure.</t>
  </si>
  <si>
    <t xml:space="preserve">SC-7</t>
  </si>
  <si>
    <t xml:space="preserve">System and Communications Protection</t>
  </si>
  <si>
    <t xml:space="preserve">Boundary Protection</t>
  </si>
  <si>
    <t xml:space="preserve">Authorization boundary enforced via VPC segmentation, security groups, WAF, and a deny-by-default egress policy; managed interfaces documented in the SSP.</t>
  </si>
  <si>
    <t xml:space="preserve">SC-8</t>
  </si>
  <si>
    <t xml:space="preserve">Transmission Confidentiality and Integrity</t>
  </si>
  <si>
    <t xml:space="preserve">TLS 1.2+ with FIPS 140-3 validated cryptographic modules enforced on all external and internal service-to-service communication.</t>
  </si>
  <si>
    <t xml:space="preserve">SC-13</t>
  </si>
  <si>
    <t xml:space="preserve">Cryptographic Protection</t>
  </si>
  <si>
    <t xml:space="preserve">FIPS 140-3 validated modules used for all cryptographic operations; AWS KMS FIPS endpoints in use.</t>
  </si>
  <si>
    <t xml:space="preserve">SC-28</t>
  </si>
  <si>
    <t xml:space="preserve">Protection of Information at Rest</t>
  </si>
  <si>
    <t xml:space="preserve">All data stores encrypted at rest with AES-256 via customer-managed KMS keys with annual rotation.</t>
  </si>
  <si>
    <t xml:space="preserve">SI-2</t>
  </si>
  <si>
    <t xml:space="preserve">System and Information Integrity</t>
  </si>
  <si>
    <t xml:space="preserve">Flaw Remediation</t>
  </si>
  <si>
    <t xml:space="preserve">Patching automated for OS/container layers; remediation SLA missed for a subset of High-severity findings (see RA-5).</t>
  </si>
  <si>
    <t xml:space="preserve">SI-4</t>
  </si>
  <si>
    <t xml:space="preserve">System Monitoring</t>
  </si>
  <si>
    <t xml:space="preserve">IDS/IPS via GuardDuty, host-based monitoring, and file integrity monitoring feeding the SIEM with 24x7 alerting.</t>
  </si>
  <si>
    <t xml:space="preserve">PS-3</t>
  </si>
  <si>
    <t xml:space="preserve">Personnel Security</t>
  </si>
  <si>
    <t xml:space="preserve">Personnel Screening</t>
  </si>
  <si>
    <t xml:space="preserve">Background investigations completed for all personnel with system access prior to provisioning; re-screening every five years.</t>
  </si>
  <si>
    <t xml:space="preserve">AT-2</t>
  </si>
  <si>
    <t xml:space="preserve">Awareness and Training</t>
  </si>
  <si>
    <t xml:space="preserve">Literacy Training and Awareness</t>
  </si>
  <si>
    <t xml:space="preserve">Annual security awareness training with role-based modules for privileged users; completion tracked at 100% for in-scope personnel.</t>
  </si>
  <si>
    <t xml:space="preserve">MP-6</t>
  </si>
  <si>
    <t xml:space="preserve">Media Protection</t>
  </si>
  <si>
    <t xml:space="preserve">Media Sanitization</t>
  </si>
  <si>
    <t xml:space="preserve">Inherited</t>
  </si>
  <si>
    <t xml:space="preserve">Inherited from AWS (FedRAMP High P-ATO)</t>
  </si>
  <si>
    <t xml:space="preserve">Media sanitization is inherited from the underlying IaaS provider; customer responsibility limited to logical data deletion.</t>
  </si>
  <si>
    <t xml:space="preserve">PE-3</t>
  </si>
  <si>
    <t xml:space="preserve">Physical and Environmental Protection</t>
  </si>
  <si>
    <t xml:space="preserve">Physical Access Control</t>
  </si>
  <si>
    <t xml:space="preserve">Physical access to data centers is fully inherited from the underlying IaaS provider's authorized environment.</t>
  </si>
  <si>
    <t xml:space="preserve">PL-2</t>
  </si>
  <si>
    <t xml:space="preserve">Planning</t>
  </si>
  <si>
    <t xml:space="preserve">System Security and Privacy Plans</t>
  </si>
  <si>
    <t xml:space="preserve">This SSP documents the authorization boundary, control implementations, and system environment; reviewed and updated at least annually.</t>
  </si>
  <si>
    <t xml:space="preserve">CONTROL IMPLEMENTATION SUMMARY</t>
  </si>
  <si>
    <t xml:space="preserve">Counts derived from the SCTM tab. Full FedRAMP Moderate baseline is 323 controls; this sample documents a representative subset.</t>
  </si>
  <si>
    <t xml:space="preserve">Count</t>
  </si>
  <si>
    <t xml:space="preserve">% of Sampled Controls</t>
  </si>
  <si>
    <t xml:space="preserve">Planned</t>
  </si>
  <si>
    <t xml:space="preserve">Not Applicable</t>
  </si>
  <si>
    <t xml:space="preserve">TOTAL</t>
  </si>
  <si>
    <t xml:space="preserve">Result</t>
  </si>
  <si>
    <t xml:space="preserve">SCTM — LEGEND &amp; METHODOLOGY</t>
  </si>
  <si>
    <t xml:space="preserve">Purpose</t>
  </si>
  <si>
    <t xml:space="preserve">The Security Controls Traceability Matrix documents how each NIST SP 800-53 Rev. 5 control in the FedRAMP Moderate baseline is implemented, who is responsible for it, how it was assessed, and whether it passed.</t>
  </si>
  <si>
    <t xml:space="preserve">Implemented | Partially Implemented | Planned | Alternative Implementation | Not Applicable | Inherited (from an underlying authorized service provider)</t>
  </si>
  <si>
    <t xml:space="preserve">Service Provider Corporate (org-wide control) | Service Provider System-Specific (unique to this system) | Inherited | Customer (Configured/Provided) | Shared</t>
  </si>
  <si>
    <t xml:space="preserve">Assessment Methods</t>
  </si>
  <si>
    <t xml:space="preserve">Examine (documentation/artifacts), Interview (personnel), Test (technical validation) — per NIST SP 800-53A</t>
  </si>
  <si>
    <t xml:space="preserve">Satisfied = control operating as designed | Other Than Satisfied = deficiency identified, which generates a POA&amp;M item</t>
  </si>
  <si>
    <t xml:space="preserve">Traceability</t>
  </si>
  <si>
    <t xml:space="preserve">Every 'Other Than Satisfied' control links to a POA&amp;M ID in the Related POA&amp;M ID column, so a reviewer can trace a control deficiency straight to its remediation plan and due date.</t>
  </si>
  <si>
    <t xml:space="preserve">Scope note</t>
  </si>
  <si>
    <t xml:space="preserve">This sample documents 30 representative controls across 15 families. A production FedRAMP Moderate SSP addresses all 323 controls and enhancements.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</si>
</sst>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b val="1"/>
        <color rgb="FFFFFFFF"/>
      </font>
      <fill>
        <patternFill>
          <bgColor rgb="FF70AD47"/>
        </patternFill>
      </fill>
    </dxf>
    <dxf>
      <font>
        <name val="Arial"/>
        <charset val="1"/>
        <family val="0"/>
        <color rgb="FF000000"/>
      </font>
      <fill>
        <patternFill>
          <bgColor rgb="FFFFC000"/>
        </patternFill>
      </fill>
    </dxf>
    <dxf>
      <font>
        <name val="Arial"/>
        <charset val="1"/>
        <family val="0"/>
        <color rgb="FF000000"/>
      </font>
      <fill>
        <patternFill>
          <bgColor rgb="FF8EAADB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8EAADB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4" min="4" style="0" width="11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7" min="7" style="0" width="44"/>
    <col collapsed="false" customWidth="true" hidden="false" outlineLevel="0" max="8" min="8" style="0" width="16"/>
    <col collapsed="false" customWidth="true" hidden="false" outlineLevel="0" max="9" min="9" style="0" width="15"/>
    <col collapsed="false" customWidth="true" hidden="false" outlineLevel="0" max="10" min="10" style="0" width="14"/>
  </cols>
  <sheetData>
    <row r="1" customFormat="false" ht="19.7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23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35.05" hidden="false" customHeight="false" outlineLevel="0" collapsed="false">
      <c r="A5" s="4" t="s">
        <v>12</v>
      </c>
      <c r="B5" s="4" t="s">
        <v>13</v>
      </c>
      <c r="C5" s="4" t="s">
        <v>14</v>
      </c>
      <c r="D5" s="4" t="s">
        <v>15</v>
      </c>
      <c r="E5" s="4" t="s">
        <v>16</v>
      </c>
      <c r="F5" s="4" t="s">
        <v>17</v>
      </c>
      <c r="G5" s="4" t="s">
        <v>18</v>
      </c>
      <c r="H5" s="4" t="s">
        <v>19</v>
      </c>
      <c r="I5" s="4" t="s">
        <v>20</v>
      </c>
      <c r="J5" s="4"/>
    </row>
    <row r="6" customFormat="false" ht="35.05" hidden="false" customHeight="false" outlineLevel="0" collapsed="false">
      <c r="A6" s="4" t="s">
        <v>21</v>
      </c>
      <c r="B6" s="4" t="s">
        <v>13</v>
      </c>
      <c r="C6" s="4" t="s">
        <v>22</v>
      </c>
      <c r="D6" s="4" t="s">
        <v>15</v>
      </c>
      <c r="E6" s="4" t="s">
        <v>16</v>
      </c>
      <c r="F6" s="4" t="s">
        <v>17</v>
      </c>
      <c r="G6" s="4" t="s">
        <v>23</v>
      </c>
      <c r="H6" s="4" t="s">
        <v>24</v>
      </c>
      <c r="I6" s="4" t="s">
        <v>20</v>
      </c>
      <c r="J6" s="4"/>
    </row>
    <row r="7" customFormat="false" ht="35.05" hidden="false" customHeight="false" outlineLevel="0" collapsed="false">
      <c r="A7" s="4" t="s">
        <v>25</v>
      </c>
      <c r="B7" s="4" t="s">
        <v>13</v>
      </c>
      <c r="C7" s="4" t="s">
        <v>26</v>
      </c>
      <c r="D7" s="4" t="s">
        <v>15</v>
      </c>
      <c r="E7" s="4" t="s">
        <v>27</v>
      </c>
      <c r="F7" s="4" t="s">
        <v>28</v>
      </c>
      <c r="G7" s="4" t="s">
        <v>29</v>
      </c>
      <c r="H7" s="4" t="s">
        <v>24</v>
      </c>
      <c r="I7" s="4" t="s">
        <v>30</v>
      </c>
      <c r="J7" s="4" t="s">
        <v>31</v>
      </c>
    </row>
    <row r="8" customFormat="false" ht="35.05" hidden="false" customHeight="false" outlineLevel="0" collapsed="false">
      <c r="A8" s="4" t="s">
        <v>32</v>
      </c>
      <c r="B8" s="4" t="s">
        <v>13</v>
      </c>
      <c r="C8" s="4" t="s">
        <v>33</v>
      </c>
      <c r="D8" s="4" t="s">
        <v>15</v>
      </c>
      <c r="E8" s="4" t="s">
        <v>16</v>
      </c>
      <c r="F8" s="4" t="s">
        <v>17</v>
      </c>
      <c r="G8" s="4" t="s">
        <v>34</v>
      </c>
      <c r="H8" s="4" t="s">
        <v>24</v>
      </c>
      <c r="I8" s="4" t="s">
        <v>20</v>
      </c>
      <c r="J8" s="4"/>
    </row>
    <row r="9" customFormat="false" ht="35.05" hidden="false" customHeight="false" outlineLevel="0" collapsed="false">
      <c r="A9" s="4" t="s">
        <v>35</v>
      </c>
      <c r="B9" s="4" t="s">
        <v>36</v>
      </c>
      <c r="C9" s="4" t="s">
        <v>37</v>
      </c>
      <c r="D9" s="4" t="s">
        <v>15</v>
      </c>
      <c r="E9" s="4" t="s">
        <v>16</v>
      </c>
      <c r="F9" s="4" t="s">
        <v>28</v>
      </c>
      <c r="G9" s="4" t="s">
        <v>38</v>
      </c>
      <c r="H9" s="4" t="s">
        <v>19</v>
      </c>
      <c r="I9" s="4" t="s">
        <v>20</v>
      </c>
      <c r="J9" s="4"/>
    </row>
    <row r="10" customFormat="false" ht="35.05" hidden="false" customHeight="false" outlineLevel="0" collapsed="false">
      <c r="A10" s="4" t="s">
        <v>39</v>
      </c>
      <c r="B10" s="4" t="s">
        <v>36</v>
      </c>
      <c r="C10" s="4" t="s">
        <v>40</v>
      </c>
      <c r="D10" s="4" t="s">
        <v>15</v>
      </c>
      <c r="E10" s="4" t="s">
        <v>27</v>
      </c>
      <c r="F10" s="4" t="s">
        <v>28</v>
      </c>
      <c r="G10" s="4" t="s">
        <v>41</v>
      </c>
      <c r="H10" s="4" t="s">
        <v>19</v>
      </c>
      <c r="I10" s="4" t="s">
        <v>30</v>
      </c>
      <c r="J10" s="4" t="s">
        <v>42</v>
      </c>
    </row>
    <row r="11" customFormat="false" ht="35.05" hidden="false" customHeight="false" outlineLevel="0" collapsed="false">
      <c r="A11" s="4" t="s">
        <v>43</v>
      </c>
      <c r="B11" s="4" t="s">
        <v>36</v>
      </c>
      <c r="C11" s="4" t="s">
        <v>44</v>
      </c>
      <c r="D11" s="4" t="s">
        <v>15</v>
      </c>
      <c r="E11" s="4" t="s">
        <v>16</v>
      </c>
      <c r="F11" s="4" t="s">
        <v>28</v>
      </c>
      <c r="G11" s="4" t="s">
        <v>45</v>
      </c>
      <c r="H11" s="4" t="s">
        <v>46</v>
      </c>
      <c r="I11" s="4" t="s">
        <v>20</v>
      </c>
      <c r="J11" s="4"/>
    </row>
    <row r="12" customFormat="false" ht="35.05" hidden="false" customHeight="false" outlineLevel="0" collapsed="false">
      <c r="A12" s="4" t="s">
        <v>47</v>
      </c>
      <c r="B12" s="4" t="s">
        <v>48</v>
      </c>
      <c r="C12" s="4" t="s">
        <v>49</v>
      </c>
      <c r="D12" s="4" t="s">
        <v>15</v>
      </c>
      <c r="E12" s="4" t="s">
        <v>27</v>
      </c>
      <c r="F12" s="4" t="s">
        <v>28</v>
      </c>
      <c r="G12" s="4" t="s">
        <v>50</v>
      </c>
      <c r="H12" s="4" t="s">
        <v>19</v>
      </c>
      <c r="I12" s="4" t="s">
        <v>30</v>
      </c>
      <c r="J12" s="4" t="s">
        <v>51</v>
      </c>
    </row>
    <row r="13" customFormat="false" ht="35.05" hidden="false" customHeight="false" outlineLevel="0" collapsed="false">
      <c r="A13" s="4" t="s">
        <v>52</v>
      </c>
      <c r="B13" s="4" t="s">
        <v>53</v>
      </c>
      <c r="C13" s="4" t="s">
        <v>54</v>
      </c>
      <c r="D13" s="4" t="s">
        <v>15</v>
      </c>
      <c r="E13" s="4" t="s">
        <v>16</v>
      </c>
      <c r="F13" s="4" t="s">
        <v>28</v>
      </c>
      <c r="G13" s="4" t="s">
        <v>55</v>
      </c>
      <c r="H13" s="4" t="s">
        <v>24</v>
      </c>
      <c r="I13" s="4" t="s">
        <v>20</v>
      </c>
      <c r="J13" s="4"/>
    </row>
    <row r="14" customFormat="false" ht="35.05" hidden="false" customHeight="false" outlineLevel="0" collapsed="false">
      <c r="A14" s="4" t="s">
        <v>56</v>
      </c>
      <c r="B14" s="4" t="s">
        <v>53</v>
      </c>
      <c r="C14" s="4" t="s">
        <v>57</v>
      </c>
      <c r="D14" s="4" t="s">
        <v>15</v>
      </c>
      <c r="E14" s="4" t="s">
        <v>27</v>
      </c>
      <c r="F14" s="4" t="s">
        <v>28</v>
      </c>
      <c r="G14" s="4" t="s">
        <v>58</v>
      </c>
      <c r="H14" s="4" t="s">
        <v>59</v>
      </c>
      <c r="I14" s="4" t="s">
        <v>30</v>
      </c>
      <c r="J14" s="4" t="s">
        <v>60</v>
      </c>
    </row>
    <row r="15" customFormat="false" ht="35.05" hidden="false" customHeight="false" outlineLevel="0" collapsed="false">
      <c r="A15" s="4" t="s">
        <v>61</v>
      </c>
      <c r="B15" s="4" t="s">
        <v>53</v>
      </c>
      <c r="C15" s="4" t="s">
        <v>62</v>
      </c>
      <c r="D15" s="4" t="s">
        <v>15</v>
      </c>
      <c r="E15" s="4" t="s">
        <v>16</v>
      </c>
      <c r="F15" s="4" t="s">
        <v>28</v>
      </c>
      <c r="G15" s="4" t="s">
        <v>63</v>
      </c>
      <c r="H15" s="4" t="s">
        <v>24</v>
      </c>
      <c r="I15" s="4" t="s">
        <v>20</v>
      </c>
      <c r="J15" s="4"/>
    </row>
    <row r="16" customFormat="false" ht="23.85" hidden="false" customHeight="false" outlineLevel="0" collapsed="false">
      <c r="A16" s="4" t="s">
        <v>64</v>
      </c>
      <c r="B16" s="4" t="s">
        <v>65</v>
      </c>
      <c r="C16" s="4" t="s">
        <v>66</v>
      </c>
      <c r="D16" s="4" t="s">
        <v>15</v>
      </c>
      <c r="E16" s="4" t="s">
        <v>16</v>
      </c>
      <c r="F16" s="4" t="s">
        <v>28</v>
      </c>
      <c r="G16" s="4" t="s">
        <v>67</v>
      </c>
      <c r="H16" s="4" t="s">
        <v>24</v>
      </c>
      <c r="I16" s="4" t="s">
        <v>20</v>
      </c>
      <c r="J16" s="4"/>
    </row>
    <row r="17" customFormat="false" ht="35.05" hidden="false" customHeight="false" outlineLevel="0" collapsed="false">
      <c r="A17" s="4" t="s">
        <v>68</v>
      </c>
      <c r="B17" s="4" t="s">
        <v>65</v>
      </c>
      <c r="C17" s="4" t="s">
        <v>69</v>
      </c>
      <c r="D17" s="4" t="s">
        <v>15</v>
      </c>
      <c r="E17" s="4" t="s">
        <v>27</v>
      </c>
      <c r="F17" s="4" t="s">
        <v>28</v>
      </c>
      <c r="G17" s="4" t="s">
        <v>70</v>
      </c>
      <c r="H17" s="4" t="s">
        <v>19</v>
      </c>
      <c r="I17" s="4" t="s">
        <v>30</v>
      </c>
      <c r="J17" s="4" t="s">
        <v>71</v>
      </c>
    </row>
    <row r="18" customFormat="false" ht="23.85" hidden="false" customHeight="false" outlineLevel="0" collapsed="false">
      <c r="A18" s="4" t="s">
        <v>72</v>
      </c>
      <c r="B18" s="4" t="s">
        <v>73</v>
      </c>
      <c r="C18" s="4" t="s">
        <v>74</v>
      </c>
      <c r="D18" s="4" t="s">
        <v>15</v>
      </c>
      <c r="E18" s="4" t="s">
        <v>16</v>
      </c>
      <c r="F18" s="4" t="s">
        <v>17</v>
      </c>
      <c r="G18" s="4" t="s">
        <v>75</v>
      </c>
      <c r="H18" s="4" t="s">
        <v>24</v>
      </c>
      <c r="I18" s="4" t="s">
        <v>20</v>
      </c>
      <c r="J18" s="4"/>
    </row>
    <row r="19" customFormat="false" ht="35.05" hidden="false" customHeight="false" outlineLevel="0" collapsed="false">
      <c r="A19" s="4" t="s">
        <v>76</v>
      </c>
      <c r="B19" s="4" t="s">
        <v>73</v>
      </c>
      <c r="C19" s="4" t="s">
        <v>77</v>
      </c>
      <c r="D19" s="4" t="s">
        <v>15</v>
      </c>
      <c r="E19" s="4" t="s">
        <v>16</v>
      </c>
      <c r="F19" s="4" t="s">
        <v>17</v>
      </c>
      <c r="G19" s="4" t="s">
        <v>78</v>
      </c>
      <c r="H19" s="4" t="s">
        <v>24</v>
      </c>
      <c r="I19" s="4" t="s">
        <v>20</v>
      </c>
      <c r="J19" s="4"/>
    </row>
    <row r="20" customFormat="false" ht="35.05" hidden="false" customHeight="false" outlineLevel="0" collapsed="false">
      <c r="A20" s="4" t="s">
        <v>79</v>
      </c>
      <c r="B20" s="4" t="s">
        <v>80</v>
      </c>
      <c r="C20" s="4" t="s">
        <v>81</v>
      </c>
      <c r="D20" s="4" t="s">
        <v>15</v>
      </c>
      <c r="E20" s="4" t="s">
        <v>16</v>
      </c>
      <c r="F20" s="4" t="s">
        <v>17</v>
      </c>
      <c r="G20" s="4" t="s">
        <v>82</v>
      </c>
      <c r="H20" s="4" t="s">
        <v>19</v>
      </c>
      <c r="I20" s="4" t="s">
        <v>20</v>
      </c>
      <c r="J20" s="4"/>
    </row>
    <row r="21" customFormat="false" ht="35.05" hidden="false" customHeight="false" outlineLevel="0" collapsed="false">
      <c r="A21" s="4" t="s">
        <v>83</v>
      </c>
      <c r="B21" s="4" t="s">
        <v>80</v>
      </c>
      <c r="C21" s="4" t="s">
        <v>84</v>
      </c>
      <c r="D21" s="4" t="s">
        <v>15</v>
      </c>
      <c r="E21" s="4" t="s">
        <v>27</v>
      </c>
      <c r="F21" s="4" t="s">
        <v>17</v>
      </c>
      <c r="G21" s="4" t="s">
        <v>85</v>
      </c>
      <c r="H21" s="4" t="s">
        <v>19</v>
      </c>
      <c r="I21" s="4" t="s">
        <v>30</v>
      </c>
      <c r="J21" s="4" t="s">
        <v>86</v>
      </c>
    </row>
    <row r="22" customFormat="false" ht="46.25" hidden="false" customHeight="false" outlineLevel="0" collapsed="false">
      <c r="A22" s="4" t="s">
        <v>87</v>
      </c>
      <c r="B22" s="4" t="s">
        <v>88</v>
      </c>
      <c r="C22" s="4" t="s">
        <v>89</v>
      </c>
      <c r="D22" s="4" t="s">
        <v>15</v>
      </c>
      <c r="E22" s="4" t="s">
        <v>27</v>
      </c>
      <c r="F22" s="4" t="s">
        <v>28</v>
      </c>
      <c r="G22" s="4" t="s">
        <v>90</v>
      </c>
      <c r="H22" s="4" t="s">
        <v>24</v>
      </c>
      <c r="I22" s="4" t="s">
        <v>30</v>
      </c>
      <c r="J22" s="4" t="s">
        <v>91</v>
      </c>
    </row>
    <row r="23" customFormat="false" ht="35.05" hidden="false" customHeight="false" outlineLevel="0" collapsed="false">
      <c r="A23" s="4" t="s">
        <v>92</v>
      </c>
      <c r="B23" s="4" t="s">
        <v>93</v>
      </c>
      <c r="C23" s="4" t="s">
        <v>94</v>
      </c>
      <c r="D23" s="4" t="s">
        <v>15</v>
      </c>
      <c r="E23" s="4" t="s">
        <v>16</v>
      </c>
      <c r="F23" s="4" t="s">
        <v>17</v>
      </c>
      <c r="G23" s="4" t="s">
        <v>95</v>
      </c>
      <c r="H23" s="4" t="s">
        <v>46</v>
      </c>
      <c r="I23" s="4" t="s">
        <v>20</v>
      </c>
      <c r="J23" s="4"/>
    </row>
    <row r="24" customFormat="false" ht="46.25" hidden="false" customHeight="false" outlineLevel="0" collapsed="false">
      <c r="A24" s="4" t="s">
        <v>96</v>
      </c>
      <c r="B24" s="4" t="s">
        <v>97</v>
      </c>
      <c r="C24" s="4" t="s">
        <v>98</v>
      </c>
      <c r="D24" s="4" t="s">
        <v>15</v>
      </c>
      <c r="E24" s="4" t="s">
        <v>16</v>
      </c>
      <c r="F24" s="4" t="s">
        <v>28</v>
      </c>
      <c r="G24" s="4" t="s">
        <v>99</v>
      </c>
      <c r="H24" s="4" t="s">
        <v>24</v>
      </c>
      <c r="I24" s="4" t="s">
        <v>20</v>
      </c>
      <c r="J24" s="4"/>
    </row>
    <row r="25" customFormat="false" ht="35.05" hidden="false" customHeight="false" outlineLevel="0" collapsed="false">
      <c r="A25" s="4" t="s">
        <v>100</v>
      </c>
      <c r="B25" s="4" t="s">
        <v>97</v>
      </c>
      <c r="C25" s="4" t="s">
        <v>101</v>
      </c>
      <c r="D25" s="4" t="s">
        <v>15</v>
      </c>
      <c r="E25" s="4" t="s">
        <v>16</v>
      </c>
      <c r="F25" s="4" t="s">
        <v>28</v>
      </c>
      <c r="G25" s="4" t="s">
        <v>102</v>
      </c>
      <c r="H25" s="4" t="s">
        <v>24</v>
      </c>
      <c r="I25" s="4" t="s">
        <v>20</v>
      </c>
      <c r="J25" s="4"/>
    </row>
    <row r="26" customFormat="false" ht="35.05" hidden="false" customHeight="false" outlineLevel="0" collapsed="false">
      <c r="A26" s="4" t="s">
        <v>103</v>
      </c>
      <c r="B26" s="4" t="s">
        <v>97</v>
      </c>
      <c r="C26" s="4" t="s">
        <v>104</v>
      </c>
      <c r="D26" s="4" t="s">
        <v>15</v>
      </c>
      <c r="E26" s="4" t="s">
        <v>16</v>
      </c>
      <c r="F26" s="4" t="s">
        <v>28</v>
      </c>
      <c r="G26" s="4" t="s">
        <v>105</v>
      </c>
      <c r="H26" s="4" t="s">
        <v>46</v>
      </c>
      <c r="I26" s="4" t="s">
        <v>20</v>
      </c>
      <c r="J26" s="4"/>
    </row>
    <row r="27" customFormat="false" ht="35.05" hidden="false" customHeight="false" outlineLevel="0" collapsed="false">
      <c r="A27" s="4" t="s">
        <v>106</v>
      </c>
      <c r="B27" s="4" t="s">
        <v>97</v>
      </c>
      <c r="C27" s="4" t="s">
        <v>107</v>
      </c>
      <c r="D27" s="4" t="s">
        <v>15</v>
      </c>
      <c r="E27" s="4" t="s">
        <v>16</v>
      </c>
      <c r="F27" s="4" t="s">
        <v>28</v>
      </c>
      <c r="G27" s="4" t="s">
        <v>108</v>
      </c>
      <c r="H27" s="4" t="s">
        <v>24</v>
      </c>
      <c r="I27" s="4" t="s">
        <v>20</v>
      </c>
      <c r="J27" s="4"/>
    </row>
    <row r="28" customFormat="false" ht="35.05" hidden="false" customHeight="false" outlineLevel="0" collapsed="false">
      <c r="A28" s="4" t="s">
        <v>109</v>
      </c>
      <c r="B28" s="4" t="s">
        <v>110</v>
      </c>
      <c r="C28" s="4" t="s">
        <v>111</v>
      </c>
      <c r="D28" s="4" t="s">
        <v>15</v>
      </c>
      <c r="E28" s="4" t="s">
        <v>27</v>
      </c>
      <c r="F28" s="4" t="s">
        <v>28</v>
      </c>
      <c r="G28" s="4" t="s">
        <v>112</v>
      </c>
      <c r="H28" s="4" t="s">
        <v>24</v>
      </c>
      <c r="I28" s="4" t="s">
        <v>30</v>
      </c>
      <c r="J28" s="4" t="s">
        <v>91</v>
      </c>
    </row>
    <row r="29" customFormat="false" ht="35.05" hidden="false" customHeight="false" outlineLevel="0" collapsed="false">
      <c r="A29" s="4" t="s">
        <v>113</v>
      </c>
      <c r="B29" s="4" t="s">
        <v>110</v>
      </c>
      <c r="C29" s="4" t="s">
        <v>114</v>
      </c>
      <c r="D29" s="4" t="s">
        <v>15</v>
      </c>
      <c r="E29" s="4" t="s">
        <v>16</v>
      </c>
      <c r="F29" s="4" t="s">
        <v>28</v>
      </c>
      <c r="G29" s="4" t="s">
        <v>115</v>
      </c>
      <c r="H29" s="4" t="s">
        <v>24</v>
      </c>
      <c r="I29" s="4" t="s">
        <v>20</v>
      </c>
      <c r="J29" s="4"/>
    </row>
    <row r="30" customFormat="false" ht="35.05" hidden="false" customHeight="false" outlineLevel="0" collapsed="false">
      <c r="A30" s="4" t="s">
        <v>116</v>
      </c>
      <c r="B30" s="4" t="s">
        <v>117</v>
      </c>
      <c r="C30" s="4" t="s">
        <v>118</v>
      </c>
      <c r="D30" s="4" t="s">
        <v>15</v>
      </c>
      <c r="E30" s="4" t="s">
        <v>16</v>
      </c>
      <c r="F30" s="4" t="s">
        <v>17</v>
      </c>
      <c r="G30" s="4" t="s">
        <v>119</v>
      </c>
      <c r="H30" s="4" t="s">
        <v>19</v>
      </c>
      <c r="I30" s="4" t="s">
        <v>20</v>
      </c>
      <c r="J30" s="4"/>
    </row>
    <row r="31" customFormat="false" ht="35.05" hidden="false" customHeight="false" outlineLevel="0" collapsed="false">
      <c r="A31" s="4" t="s">
        <v>120</v>
      </c>
      <c r="B31" s="4" t="s">
        <v>121</v>
      </c>
      <c r="C31" s="4" t="s">
        <v>122</v>
      </c>
      <c r="D31" s="4" t="s">
        <v>15</v>
      </c>
      <c r="E31" s="4" t="s">
        <v>16</v>
      </c>
      <c r="F31" s="4" t="s">
        <v>17</v>
      </c>
      <c r="G31" s="4" t="s">
        <v>123</v>
      </c>
      <c r="H31" s="4" t="s">
        <v>46</v>
      </c>
      <c r="I31" s="4" t="s">
        <v>20</v>
      </c>
      <c r="J31" s="4"/>
    </row>
    <row r="32" customFormat="false" ht="35.05" hidden="false" customHeight="false" outlineLevel="0" collapsed="false">
      <c r="A32" s="4" t="s">
        <v>124</v>
      </c>
      <c r="B32" s="4" t="s">
        <v>125</v>
      </c>
      <c r="C32" s="4" t="s">
        <v>126</v>
      </c>
      <c r="D32" s="4" t="s">
        <v>15</v>
      </c>
      <c r="E32" s="4" t="s">
        <v>127</v>
      </c>
      <c r="F32" s="4" t="s">
        <v>128</v>
      </c>
      <c r="G32" s="4" t="s">
        <v>129</v>
      </c>
      <c r="H32" s="4" t="s">
        <v>46</v>
      </c>
      <c r="I32" s="4" t="s">
        <v>20</v>
      </c>
      <c r="J32" s="4"/>
    </row>
    <row r="33" customFormat="false" ht="35.05" hidden="false" customHeight="false" outlineLevel="0" collapsed="false">
      <c r="A33" s="4" t="s">
        <v>130</v>
      </c>
      <c r="B33" s="4" t="s">
        <v>131</v>
      </c>
      <c r="C33" s="4" t="s">
        <v>132</v>
      </c>
      <c r="D33" s="4" t="s">
        <v>15</v>
      </c>
      <c r="E33" s="4" t="s">
        <v>127</v>
      </c>
      <c r="F33" s="4" t="s">
        <v>128</v>
      </c>
      <c r="G33" s="4" t="s">
        <v>133</v>
      </c>
      <c r="H33" s="4" t="s">
        <v>46</v>
      </c>
      <c r="I33" s="4" t="s">
        <v>20</v>
      </c>
      <c r="J33" s="4"/>
    </row>
    <row r="34" customFormat="false" ht="35.05" hidden="false" customHeight="false" outlineLevel="0" collapsed="false">
      <c r="A34" s="4" t="s">
        <v>134</v>
      </c>
      <c r="B34" s="4" t="s">
        <v>135</v>
      </c>
      <c r="C34" s="4" t="s">
        <v>136</v>
      </c>
      <c r="D34" s="4" t="s">
        <v>15</v>
      </c>
      <c r="E34" s="4" t="s">
        <v>16</v>
      </c>
      <c r="F34" s="4" t="s">
        <v>28</v>
      </c>
      <c r="G34" s="4" t="s">
        <v>137</v>
      </c>
      <c r="H34" s="4" t="s">
        <v>46</v>
      </c>
      <c r="I34" s="4" t="s">
        <v>20</v>
      </c>
      <c r="J34" s="4"/>
    </row>
  </sheetData>
  <mergeCells count="2">
    <mergeCell ref="A1:J1"/>
    <mergeCell ref="A2:J2"/>
  </mergeCells>
  <conditionalFormatting sqref="E5:E34">
    <cfRule type="expression" priority="2" aboveAverage="0" equalAverage="0" bottom="0" percent="0" rank="0" text="" dxfId="0">
      <formula>EXACT(E5,"Implemented")</formula>
    </cfRule>
    <cfRule type="expression" priority="3" aboveAverage="0" equalAverage="0" bottom="0" percent="0" rank="0" text="" dxfId="1">
      <formula>EXACT(E5,"Partially Implemented")</formula>
    </cfRule>
    <cfRule type="expression" priority="4" aboveAverage="0" equalAverage="0" bottom="0" percent="0" rank="0" text="" dxfId="2">
      <formula>EXACT(E5,"Inherited")</formula>
    </cfRule>
  </conditionalFormatting>
  <conditionalFormatting sqref="I5:I34">
    <cfRule type="expression" priority="5" aboveAverage="0" equalAverage="0" bottom="0" percent="0" rank="0" text="" dxfId="0">
      <formula>EXACT(I5,"Satisfied")</formula>
    </cfRule>
    <cfRule type="expression" priority="6" aboveAverage="0" equalAverage="0" bottom="0" percent="0" rank="0" text="" dxfId="3">
      <formula>EXACT(I5,"Other Than Satisfied")</formula>
    </cfRule>
  </conditionalFormatting>
  <dataValidations count="2">
    <dataValidation allowBlank="true" errorStyle="stop" operator="between" showDropDown="false" showErrorMessage="false" showInputMessage="false" sqref="E5:E64" type="list">
      <formula1>"Implemented,Partially Implemented,Planned,Alternative Implementation,Not Applicable,Inherited"</formula1>
      <formula2>0</formula2>
    </dataValidation>
    <dataValidation allowBlank="true" errorStyle="stop" operator="between" showDropDown="false" showErrorMessage="false" showInputMessage="false" sqref="I5:I64" type="list">
      <formula1>"Satisfied,Other Than Satisfied,Not Assessed"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3" min="3" style="0" width="22"/>
  </cols>
  <sheetData>
    <row r="1" customFormat="false" ht="19.7" hidden="false" customHeight="false" outlineLevel="0" collapsed="false">
      <c r="A1" s="5" t="s">
        <v>138</v>
      </c>
    </row>
    <row r="2" customFormat="false" ht="15" hidden="false" customHeight="false" outlineLevel="0" collapsed="false">
      <c r="A2" s="6" t="s">
        <v>139</v>
      </c>
    </row>
    <row r="4" customFormat="false" ht="15" hidden="false" customHeight="false" outlineLevel="0" collapsed="false">
      <c r="A4" s="7" t="s">
        <v>6</v>
      </c>
      <c r="B4" s="7" t="s">
        <v>140</v>
      </c>
      <c r="C4" s="7" t="s">
        <v>141</v>
      </c>
    </row>
    <row r="5" customFormat="false" ht="15" hidden="false" customHeight="false" outlineLevel="0" collapsed="false">
      <c r="A5" s="8" t="s">
        <v>16</v>
      </c>
      <c r="B5" s="8" t="n">
        <f aca="false">COUNTIF(SCTM!$E$5:$E$34,A5)</f>
        <v>20</v>
      </c>
      <c r="C5" s="9" t="n">
        <f aca="false">IFERROR(B5/SUM($B$5:$B$9),0)</f>
        <v>0.666666666666667</v>
      </c>
    </row>
    <row r="6" customFormat="false" ht="15" hidden="false" customHeight="false" outlineLevel="0" collapsed="false">
      <c r="A6" s="8" t="s">
        <v>27</v>
      </c>
      <c r="B6" s="8" t="n">
        <f aca="false">COUNTIF(SCTM!$E$5:$E$34,A6)</f>
        <v>8</v>
      </c>
      <c r="C6" s="9" t="n">
        <f aca="false">IFERROR(B6/SUM($B$5:$B$9),0)</f>
        <v>0.266666666666667</v>
      </c>
    </row>
    <row r="7" customFormat="false" ht="15" hidden="false" customHeight="false" outlineLevel="0" collapsed="false">
      <c r="A7" s="8" t="s">
        <v>127</v>
      </c>
      <c r="B7" s="8" t="n">
        <f aca="false">COUNTIF(SCTM!$E$5:$E$34,A7)</f>
        <v>2</v>
      </c>
      <c r="C7" s="9" t="n">
        <f aca="false">IFERROR(B7/SUM($B$5:$B$9),0)</f>
        <v>0.0666666666666667</v>
      </c>
    </row>
    <row r="8" customFormat="false" ht="15" hidden="false" customHeight="false" outlineLevel="0" collapsed="false">
      <c r="A8" s="8" t="s">
        <v>142</v>
      </c>
      <c r="B8" s="8" t="n">
        <f aca="false">COUNTIF(SCTM!$E$5:$E$34,A8)</f>
        <v>0</v>
      </c>
      <c r="C8" s="9" t="n">
        <f aca="false">IFERROR(B8/SUM($B$5:$B$9),0)</f>
        <v>0</v>
      </c>
    </row>
    <row r="9" customFormat="false" ht="15" hidden="false" customHeight="false" outlineLevel="0" collapsed="false">
      <c r="A9" s="8" t="s">
        <v>143</v>
      </c>
      <c r="B9" s="8" t="n">
        <f aca="false">COUNTIF(SCTM!$E$5:$E$34,A9)</f>
        <v>0</v>
      </c>
      <c r="C9" s="9" t="n">
        <f aca="false">IFERROR(B9/SUM($B$5:$B$9),0)</f>
        <v>0</v>
      </c>
    </row>
    <row r="10" customFormat="false" ht="15" hidden="false" customHeight="false" outlineLevel="0" collapsed="false">
      <c r="A10" s="10" t="s">
        <v>144</v>
      </c>
      <c r="B10" s="10" t="n">
        <f aca="false">SUM(B5:B9)</f>
        <v>30</v>
      </c>
      <c r="C10" s="11"/>
    </row>
    <row r="12" customFormat="false" ht="15" hidden="false" customHeight="false" outlineLevel="0" collapsed="false">
      <c r="A12" s="12" t="s">
        <v>10</v>
      </c>
    </row>
    <row r="13" customFormat="false" ht="15" hidden="false" customHeight="false" outlineLevel="0" collapsed="false">
      <c r="A13" s="7" t="s">
        <v>145</v>
      </c>
      <c r="B13" s="7" t="s">
        <v>140</v>
      </c>
      <c r="C13" s="7" t="s">
        <v>141</v>
      </c>
    </row>
    <row r="14" customFormat="false" ht="15" hidden="false" customHeight="false" outlineLevel="0" collapsed="false">
      <c r="A14" s="8" t="s">
        <v>20</v>
      </c>
      <c r="B14" s="8" t="n">
        <f aca="false">COUNTIF(SCTM!$I$5:$I$34,A14)</f>
        <v>22</v>
      </c>
      <c r="C14" s="9" t="n">
        <f aca="false">IFERROR(B14/SUM($B$14:$B$15),0)</f>
        <v>0.733333333333333</v>
      </c>
    </row>
    <row r="15" customFormat="false" ht="15" hidden="false" customHeight="false" outlineLevel="0" collapsed="false">
      <c r="A15" s="8" t="s">
        <v>30</v>
      </c>
      <c r="B15" s="8" t="n">
        <f aca="false">COUNTIF(SCTM!$I$5:$I$34,A15)</f>
        <v>8</v>
      </c>
      <c r="C15" s="9" t="n">
        <f aca="false">IFERROR(B15/SUM($B$14:$B$15),0)</f>
        <v>0.266666666666667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5"/>
  </cols>
  <sheetData>
    <row r="1" customFormat="false" ht="19.7" hidden="false" customHeight="false" outlineLevel="0" collapsed="false">
      <c r="A1" s="5" t="s">
        <v>146</v>
      </c>
    </row>
    <row r="2" customFormat="false" ht="23.85" hidden="false" customHeight="false" outlineLevel="0" collapsed="false">
      <c r="A2" s="13" t="s">
        <v>147</v>
      </c>
      <c r="B2" s="14" t="s">
        <v>148</v>
      </c>
    </row>
    <row r="3" customFormat="false" ht="23.85" hidden="false" customHeight="false" outlineLevel="0" collapsed="false">
      <c r="A3" s="13" t="s">
        <v>6</v>
      </c>
      <c r="B3" s="14" t="s">
        <v>149</v>
      </c>
    </row>
    <row r="4" customFormat="false" ht="23.85" hidden="false" customHeight="false" outlineLevel="0" collapsed="false">
      <c r="A4" s="13" t="s">
        <v>7</v>
      </c>
      <c r="B4" s="14" t="s">
        <v>150</v>
      </c>
    </row>
    <row r="5" customFormat="false" ht="15" hidden="false" customHeight="false" outlineLevel="0" collapsed="false">
      <c r="A5" s="13" t="s">
        <v>151</v>
      </c>
      <c r="B5" s="14" t="s">
        <v>152</v>
      </c>
    </row>
    <row r="6" customFormat="false" ht="15" hidden="false" customHeight="false" outlineLevel="0" collapsed="false">
      <c r="A6" s="13" t="s">
        <v>10</v>
      </c>
      <c r="B6" s="14" t="s">
        <v>153</v>
      </c>
    </row>
    <row r="7" customFormat="false" ht="23.85" hidden="false" customHeight="false" outlineLevel="0" collapsed="false">
      <c r="A7" s="13" t="s">
        <v>154</v>
      </c>
      <c r="B7" s="14" t="s">
        <v>155</v>
      </c>
    </row>
    <row r="8" customFormat="false" ht="23.85" hidden="false" customHeight="false" outlineLevel="0" collapsed="false">
      <c r="A8" s="13" t="s">
        <v>156</v>
      </c>
      <c r="B8" s="14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2026-08-13T15:12:05Z</dcterms:created>
  <dc:creator>openpyxl</dc:creator>
  <dc:description/>
  <dc:language>en-US</dc:language>
  <cp:lastModifiedBy/>
  <dcterms:modified xsi:type="dcterms:W3CDTF">2026-08-13T15:12:05Z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