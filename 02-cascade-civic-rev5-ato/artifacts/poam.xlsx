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A&amp;M" sheetId="1" state="visible" r:id="rId3"/>
    <sheet name="POA&amp;M Summary" sheetId="2" state="visible" r:id="rId4"/>
    <sheet name="Legen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<sst xmlns="http://schemas.openxmlformats.org/spreadsheetml/2006/main" count="161" uniqueCount="115">
  <si>
    <t xml:space="preserve">CASCADE CIVIC SYSTEMS, INC. — PLAN OF ACTION AND MILESTONES (POA&amp;M)</t>
  </si>
  <si>
    <t xml:space="preserve">Status Date (input):</t>
  </si>
  <si>
    <t xml:space="preserve">GrantBridge Platform (SaaS) | FedRAMP Moderate | Reporting Period: Q1 2026 | Status Date: 2026-03-31 | Sample GRC portfolio artifact — fictional company</t>
  </si>
  <si>
    <t xml:space="preserve">POA&amp;M ID</t>
  </si>
  <si>
    <t xml:space="preserve">Weakness Name</t>
  </si>
  <si>
    <t xml:space="preserve">Weakness Description</t>
  </si>
  <si>
    <t xml:space="preserve">Source of Discovery</t>
  </si>
  <si>
    <t xml:space="preserve">NIST 800-53 Control(s)</t>
  </si>
  <si>
    <t xml:space="preserve">Asset Identifier</t>
  </si>
  <si>
    <t xml:space="preserve">Severity</t>
  </si>
  <si>
    <t xml:space="preserve">Likelihood</t>
  </si>
  <si>
    <t xml:space="preserve">Impact</t>
  </si>
  <si>
    <t xml:space="preserve">Risk Rating</t>
  </si>
  <si>
    <t xml:space="preserve">Point of Contact</t>
  </si>
  <si>
    <t xml:space="preserve">Remediation Plan</t>
  </si>
  <si>
    <t xml:space="preserve">Scheduled Completion Date</t>
  </si>
  <si>
    <t xml:space="preserve">Milestones</t>
  </si>
  <si>
    <t xml:space="preserve">Status</t>
  </si>
  <si>
    <t xml:space="preserve">Days Open</t>
  </si>
  <si>
    <t xml:space="preserve">Overdue?</t>
  </si>
  <si>
    <t xml:space="preserve">Deviation / Risk Acceptance</t>
  </si>
  <si>
    <t xml:space="preserve">V-001</t>
  </si>
  <si>
    <t xml:space="preserve">Untimely Remediation of High-Severity Vulnerabilities</t>
  </si>
  <si>
    <t xml:space="preserve">Authenticated vulnerability scans identified 14 High-severity findings that exceeded the FedRAMP 30-day remediation window for Moderate systems. Root cause: patching pipeline lacked automated escalation when an SLA breach was approaching.</t>
  </si>
  <si>
    <t xml:space="preserve">Monthly ConMon Scan / 3PAO Assessment</t>
  </si>
  <si>
    <t xml:space="preserve">RA-5, SI-2</t>
  </si>
  <si>
    <t xml:space="preserve">Application Tier (web-app-prod-01 through 06)</t>
  </si>
  <si>
    <t xml:space="preserve">High</t>
  </si>
  <si>
    <t xml:space="preserve">Director of Platform Engineering</t>
  </si>
  <si>
    <t xml:space="preserve">Implement automated SLA-based escalation in the vulnerability management pipeline; remediate the 14 open High findings; institute weekly SLA burn-down review.</t>
  </si>
  <si>
    <t xml:space="preserve">M1: Remediate all open High findings (2026-05-15); M2: Deploy automated SLA escalation (2026-06-15); M3: Validate with clean scan cycle (2026-06-30)</t>
  </si>
  <si>
    <t xml:space="preserve">In Progress</t>
  </si>
  <si>
    <t xml:space="preserve">V-002</t>
  </si>
  <si>
    <t xml:space="preserve">Configuration Drift from Approved Hardening Baseline</t>
  </si>
  <si>
    <t xml:space="preserve">Assessment sampling identified three application servers with configuration settings deviating from the approved CIS Level 1 hardening baseline, including a non-compliant SSH configuration and a disabled host-based audit daemon.</t>
  </si>
  <si>
    <t xml:space="preserve">3PAO Assessment (Technical Test)</t>
  </si>
  <si>
    <t xml:space="preserve">CM-6</t>
  </si>
  <si>
    <t xml:space="preserve">app-srv-04, app-srv-07, app-srv-11</t>
  </si>
  <si>
    <t xml:space="preserve">Moderate</t>
  </si>
  <si>
    <t xml:space="preserve">Cloud Infrastructure Lead</t>
  </si>
  <si>
    <t xml:space="preserve">Re-image affected hosts from the approved AMI; enable AWS Config drift detection with automatic remediation for baseline settings; add drift check to deployment gate.</t>
  </si>
  <si>
    <t xml:space="preserve">M1: Re-image affected hosts (2026-04-15); M2: Enable Config auto-remediation rules (2026-05-15); M3: Add pre-deploy drift gate to CI (2026-05-31)</t>
  </si>
  <si>
    <t xml:space="preserve">V-003</t>
  </si>
  <si>
    <t xml:space="preserve">Incomplete Logging of Privileged Function Use</t>
  </si>
  <si>
    <t xml:space="preserve">Privileged function execution on the legacy reporting subsystem is not forwarded to the centralized SIEM, creating a gap in the audit trail for administrative actions on that component.</t>
  </si>
  <si>
    <t xml:space="preserve">AC-6(9), AU-2</t>
  </si>
  <si>
    <t xml:space="preserve">reporting-svc-legacy</t>
  </si>
  <si>
    <t xml:space="preserve">Security Operations Lead</t>
  </si>
  <si>
    <t xml:space="preserve">Deploy log forwarding agent to the legacy reporting subsystem; validate privileged-action event coverage against the approved auditable events list; confirm SIEM ingestion and alerting.</t>
  </si>
  <si>
    <t xml:space="preserve">M1: Deploy forwarding agent (2026-04-20); M2: Validate event coverage (2026-05-05); M3: Confirm SIEM alerting rules fire (2026-05-15)</t>
  </si>
  <si>
    <t xml:space="preserve">V-004</t>
  </si>
  <si>
    <t xml:space="preserve">Annual System Recovery Exercise Not Performed</t>
  </si>
  <si>
    <t xml:space="preserve">Full-system recovery and reconstitution procedures have not been exercised within the required annual period. Component-level backup restoration has been tested, but an end-to-end recovery validating documented RTO/RPO has not been conducted.</t>
  </si>
  <si>
    <t xml:space="preserve">3PAO Assessment (Interview/Examine)</t>
  </si>
  <si>
    <t xml:space="preserve">CP-10</t>
  </si>
  <si>
    <t xml:space="preserve">GrantBridge Platform (system-wide)</t>
  </si>
  <si>
    <t xml:space="preserve">Low</t>
  </si>
  <si>
    <t xml:space="preserve">Director of Infrastructure</t>
  </si>
  <si>
    <t xml:space="preserve">Conduct a full-system recovery exercise in an isolated environment; measure actual RTO/RPO against documented objectives; update the Contingency Plan based on exercise findings.</t>
  </si>
  <si>
    <t xml:space="preserve">M1: Develop exercise scenario and success criteria (2026-05-30); M2: Execute recovery exercise (2026-07-15); M3: Update Contingency Plan and after-action report (2026-07-31)</t>
  </si>
  <si>
    <t xml:space="preserve">Open</t>
  </si>
  <si>
    <t xml:space="preserve">V-005</t>
  </si>
  <si>
    <t xml:space="preserve">Inconsistent Audit Log Review Evidence</t>
  </si>
  <si>
    <t xml:space="preserve">The documented weekly audit log review procedure was not consistently evidenced for a two-month period. Reviews may have occurred but were not recorded in a manner that supports assessment.</t>
  </si>
  <si>
    <t xml:space="preserve">3PAO Assessment (Examine)</t>
  </si>
  <si>
    <t xml:space="preserve">AU-6</t>
  </si>
  <si>
    <t xml:space="preserve">SIEM Platform</t>
  </si>
  <si>
    <t xml:space="preserve">Implement a ticketed workflow that generates an auditable record for each weekly log review, including reviewer, date, findings, and escalations; backfill process documentation.</t>
  </si>
  <si>
    <t xml:space="preserve">M1: Build ticketed review workflow (2026-04-10); M2: Complete four consecutive evidenced review cycles (2026-04-30)</t>
  </si>
  <si>
    <t xml:space="preserve">V-006</t>
  </si>
  <si>
    <t xml:space="preserve">Incident Reporting Timeline Not Exercised</t>
  </si>
  <si>
    <t xml:space="preserve">The one-hour US-CERT and FedRAMP ISSO incident notification requirement is documented in the Incident Response Plan but has not been validated through a tabletop or live exercise, creating uncertainty about the organization's ability to meet the timeline.</t>
  </si>
  <si>
    <t xml:space="preserve">3PAO Assessment (Interview)</t>
  </si>
  <si>
    <t xml:space="preserve">IR-6, IR-4</t>
  </si>
  <si>
    <t xml:space="preserve">Incident Response Program</t>
  </si>
  <si>
    <t xml:space="preserve">Incident Response Lead</t>
  </si>
  <si>
    <t xml:space="preserve">Conduct a tabletop exercise specifically testing notification timelines to US-CERT and the FedRAMP ISSO; document actual elapsed times; update the IR Plan and contact roster based on results.</t>
  </si>
  <si>
    <t xml:space="preserve">M1: Develop tabletop scenario (2026-05-01); M2: Execute tabletop with Legal and Communications (2026-06-01); M3: Update IR Plan and roster (2026-06-15)</t>
  </si>
  <si>
    <t xml:space="preserve">V-007</t>
  </si>
  <si>
    <t xml:space="preserve">Late Submission of Continuous Monitoring Deliverables</t>
  </si>
  <si>
    <t xml:space="preserve">Monthly continuous monitoring deliverables (scan results, POA&amp;M updates, inventory) were submitted after the required deadline in two of the last six reporting cycles.</t>
  </si>
  <si>
    <t xml:space="preserve">FedRAMP ConMon Review</t>
  </si>
  <si>
    <t xml:space="preserve">CA-7</t>
  </si>
  <si>
    <t xml:space="preserve">ConMon Program</t>
  </si>
  <si>
    <t xml:space="preserve">ISSO</t>
  </si>
  <si>
    <t xml:space="preserve">Automate ConMon deliverable assembly and add calendar-driven internal deadlines five business days ahead of the external due date; assign a documented backup submitter.</t>
  </si>
  <si>
    <t xml:space="preserve">M1: Automate deliverable package generation (2026-05-01); M2: Establish internal deadline and backup owner (2026-05-15); M3: Two consecutive on-time cycles (2026-05-31)</t>
  </si>
  <si>
    <t xml:space="preserve">V-008</t>
  </si>
  <si>
    <t xml:space="preserve">Shared Service Account Used by Batch Processing Jobs</t>
  </si>
  <si>
    <t xml:space="preserve">A shared service account with elevated database privileges is used by four batch processing jobs, preventing attribution of database actions to a specific process and violating least-privilege and individual-accountability requirements.</t>
  </si>
  <si>
    <t xml:space="preserve">Internal Self-Assessment</t>
  </si>
  <si>
    <t xml:space="preserve">AC-2, AC-6</t>
  </si>
  <si>
    <t xml:space="preserve">grantbridge-batch-db</t>
  </si>
  <si>
    <t xml:space="preserve">Migrate each batch job to a dedicated IAM database role scoped to the minimum required privileges; eliminate the shared account; verify attribution in database audit logs.</t>
  </si>
  <si>
    <t xml:space="preserve">M1: Inventory required privileges per job (2026-05-30); M2: Create scoped roles and migrate jobs (2026-07-31); M3: Disable shared account and validate logs (2026-08-31)</t>
  </si>
  <si>
    <t xml:space="preserve">POA&amp;M SUMMARY — Q1 2026</t>
  </si>
  <si>
    <t xml:space="preserve">Counts derived from the POA&amp;M tab.</t>
  </si>
  <si>
    <t xml:space="preserve">Closed</t>
  </si>
  <si>
    <t xml:space="preserve">Total</t>
  </si>
  <si>
    <t xml:space="preserve">TOTAL</t>
  </si>
  <si>
    <t xml:space="preserve">Overdue Items</t>
  </si>
  <si>
    <t xml:space="preserve">Next Milestone Due</t>
  </si>
  <si>
    <t xml:space="preserve">POA&amp;M — LEGEND &amp; METHODOLOGY</t>
  </si>
  <si>
    <t xml:space="preserve">Purpose</t>
  </si>
  <si>
    <t xml:space="preserve">The Plan of Action and Milestones is the authoritative tracking document for every security weakness identified in a federal system. It is a required deliverable under FISMA and FedRAMP and is submitted to the Authorizing Official on a monthly continuous monitoring cadence.</t>
  </si>
  <si>
    <t xml:space="preserve">Editable input cell</t>
  </si>
  <si>
    <t xml:space="preserve">Cell U1 on the POA&amp;M tab (yellow) is the Status Date. Change it and the Overdue? column recalculates against every scheduled completion date.</t>
  </si>
  <si>
    <t xml:space="preserve">Sources of Discovery</t>
  </si>
  <si>
    <t xml:space="preserve">3PAO Assessment | Monthly ConMon Scan | Internal Self-Assessment | Penetration Test | Incident | FedRAMP ConMon Review | Customer-Reported</t>
  </si>
  <si>
    <t xml:space="preserve">Derived from Likelihood and Impact. FedRAMP remediation timelines: High = 30 days, Moderate = 90 days, Low = 180 days from discovery.</t>
  </si>
  <si>
    <t xml:space="preserve">Traceability</t>
  </si>
  <si>
    <t xml:space="preserve">Each POA&amp;M ID maps back to a control marked 'Other Than Satisfied' in the SCTM, and forward to the findings documented in the Security Assessment Report.</t>
  </si>
  <si>
    <t xml:space="preserve">Where a weakness cannot be remediated within required timelines, a formal deviation request (Risk Adjustment, False Positive, or Operational Requirement) must be submitted to and approved by the Authorizing Official.</t>
  </si>
  <si>
    <t xml:space="preserve">Closure</t>
  </si>
  <si>
    <t xml:space="preserve">A POA&amp;M item may only be closed with evidence of remediation validated by the ISSO — typically a clean scan, a re-test result, or an assessed artifact.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</si>
</sst>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ED7D31"/>
        </patternFill>
      </fill>
    </dxf>
    <dxf>
      <font>
        <name val="Arial"/>
        <charset val="1"/>
        <family val="0"/>
        <color rgb="FF000000"/>
      </font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8"/>
    <col collapsed="false" customWidth="true" hidden="false" outlineLevel="0" max="12" min="12" style="0" width="40"/>
    <col collapsed="false" customWidth="true" hidden="false" outlineLevel="0" max="13" min="13" style="0" width="15"/>
    <col collapsed="false" customWidth="true" hidden="false" outlineLevel="0" max="14" min="14" style="0" width="34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17" min="17" style="0" width="11"/>
    <col collapsed="false" customWidth="true" hidden="false" outlineLevel="0" max="18" min="18" style="0" width="24"/>
    <col collapsed="false" customWidth="true" hidden="false" outlineLevel="0" max="20" min="20" style="0" width="20"/>
    <col collapsed="false" customWidth="true" hidden="false" outlineLevel="0" max="21" min="21" style="0" width="14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T1" s="2" t="s">
        <v>1</v>
      </c>
      <c r="U1" s="3" t="n">
        <v>46112</v>
      </c>
    </row>
    <row r="2" customFormat="false" ht="15" hidden="false" customHeight="false" outlineLevel="0" collapsed="false">
      <c r="A2" s="4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customFormat="false" ht="23.8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</row>
    <row r="5" customFormat="false" ht="68.65" hidden="false" customHeight="false" outlineLevel="0" collapsed="false">
      <c r="A5" s="6" t="s">
        <v>21</v>
      </c>
      <c r="B5" s="6" t="s">
        <v>22</v>
      </c>
      <c r="C5" s="6" t="s">
        <v>23</v>
      </c>
      <c r="D5" s="6" t="s">
        <v>24</v>
      </c>
      <c r="E5" s="6" t="s">
        <v>25</v>
      </c>
      <c r="F5" s="6" t="s">
        <v>26</v>
      </c>
      <c r="G5" s="6" t="s">
        <v>27</v>
      </c>
      <c r="H5" s="6" t="s">
        <v>27</v>
      </c>
      <c r="I5" s="6" t="s">
        <v>27</v>
      </c>
      <c r="J5" s="6" t="s">
        <v>27</v>
      </c>
      <c r="K5" s="6" t="s">
        <v>28</v>
      </c>
      <c r="L5" s="6" t="s">
        <v>29</v>
      </c>
      <c r="M5" s="7" t="n">
        <v>46203</v>
      </c>
      <c r="N5" s="6" t="s">
        <v>30</v>
      </c>
      <c r="O5" s="6" t="s">
        <v>31</v>
      </c>
      <c r="P5" s="6" t="n">
        <f aca="false">IF(O5="Closed","",MAX(0,$U$1-DATE(2026,3,1)))</f>
        <v>30</v>
      </c>
      <c r="Q5" s="6" t="str">
        <f aca="false">IF(O5="Closed","No",IF(M5&lt;$U$1,"YES","No"))</f>
        <v>No</v>
      </c>
      <c r="R5" s="6"/>
    </row>
    <row r="6" customFormat="false" ht="57.45" hidden="false" customHeight="false" outlineLevel="0" collapsed="false">
      <c r="A6" s="6" t="s">
        <v>32</v>
      </c>
      <c r="B6" s="6" t="s">
        <v>33</v>
      </c>
      <c r="C6" s="6" t="s">
        <v>34</v>
      </c>
      <c r="D6" s="6" t="s">
        <v>35</v>
      </c>
      <c r="E6" s="6" t="s">
        <v>36</v>
      </c>
      <c r="F6" s="6" t="s">
        <v>37</v>
      </c>
      <c r="G6" s="6" t="s">
        <v>38</v>
      </c>
      <c r="H6" s="6" t="s">
        <v>38</v>
      </c>
      <c r="I6" s="6" t="s">
        <v>38</v>
      </c>
      <c r="J6" s="6" t="s">
        <v>38</v>
      </c>
      <c r="K6" s="6" t="s">
        <v>39</v>
      </c>
      <c r="L6" s="6" t="s">
        <v>40</v>
      </c>
      <c r="M6" s="7" t="n">
        <v>46173</v>
      </c>
      <c r="N6" s="6" t="s">
        <v>41</v>
      </c>
      <c r="O6" s="6" t="s">
        <v>31</v>
      </c>
      <c r="P6" s="6" t="n">
        <f aca="false">IF(O6="Closed","",MAX(0,$U$1-DATE(2026,3,1)))</f>
        <v>30</v>
      </c>
      <c r="Q6" s="6" t="str">
        <f aca="false">IF(O6="Closed","No",IF(M6&lt;$U$1,"YES","No"))</f>
        <v>No</v>
      </c>
      <c r="R6" s="6"/>
    </row>
    <row r="7" customFormat="false" ht="46.25" hidden="false" customHeight="false" outlineLevel="0" collapsed="false">
      <c r="A7" s="6" t="s">
        <v>42</v>
      </c>
      <c r="B7" s="6" t="s">
        <v>43</v>
      </c>
      <c r="C7" s="6" t="s">
        <v>44</v>
      </c>
      <c r="D7" s="6" t="s">
        <v>35</v>
      </c>
      <c r="E7" s="6" t="s">
        <v>45</v>
      </c>
      <c r="F7" s="6" t="s">
        <v>46</v>
      </c>
      <c r="G7" s="6" t="s">
        <v>38</v>
      </c>
      <c r="H7" s="6" t="s">
        <v>38</v>
      </c>
      <c r="I7" s="6" t="s">
        <v>27</v>
      </c>
      <c r="J7" s="6" t="s">
        <v>27</v>
      </c>
      <c r="K7" s="6" t="s">
        <v>47</v>
      </c>
      <c r="L7" s="6" t="s">
        <v>48</v>
      </c>
      <c r="M7" s="7" t="n">
        <v>46157</v>
      </c>
      <c r="N7" s="6" t="s">
        <v>49</v>
      </c>
      <c r="O7" s="6" t="s">
        <v>31</v>
      </c>
      <c r="P7" s="6" t="n">
        <f aca="false">IF(O7="Closed","",MAX(0,$U$1-DATE(2026,3,1)))</f>
        <v>30</v>
      </c>
      <c r="Q7" s="6" t="str">
        <f aca="false">IF(O7="Closed","No",IF(M7&lt;$U$1,"YES","No"))</f>
        <v>No</v>
      </c>
      <c r="R7" s="6"/>
    </row>
    <row r="8" customFormat="false" ht="68.65" hidden="false" customHeight="false" outlineLevel="0" collapsed="false">
      <c r="A8" s="6" t="s">
        <v>50</v>
      </c>
      <c r="B8" s="6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38</v>
      </c>
      <c r="H8" s="6" t="s">
        <v>56</v>
      </c>
      <c r="I8" s="6" t="s">
        <v>27</v>
      </c>
      <c r="J8" s="6" t="s">
        <v>38</v>
      </c>
      <c r="K8" s="6" t="s">
        <v>57</v>
      </c>
      <c r="L8" s="6" t="s">
        <v>58</v>
      </c>
      <c r="M8" s="7" t="n">
        <v>46234</v>
      </c>
      <c r="N8" s="6" t="s">
        <v>59</v>
      </c>
      <c r="O8" s="6" t="s">
        <v>60</v>
      </c>
      <c r="P8" s="6" t="n">
        <f aca="false">IF(O8="Closed","",MAX(0,$U$1-DATE(2026,3,1)))</f>
        <v>30</v>
      </c>
      <c r="Q8" s="6" t="str">
        <f aca="false">IF(O8="Closed","No",IF(M8&lt;$U$1,"YES","No"))</f>
        <v>No</v>
      </c>
      <c r="R8" s="6"/>
    </row>
    <row r="9" customFormat="false" ht="57.45" hidden="false" customHeight="false" outlineLevel="0" collapsed="false">
      <c r="A9" s="6" t="s">
        <v>61</v>
      </c>
      <c r="B9" s="6" t="s">
        <v>62</v>
      </c>
      <c r="C9" s="6" t="s">
        <v>63</v>
      </c>
      <c r="D9" s="6" t="s">
        <v>64</v>
      </c>
      <c r="E9" s="6" t="s">
        <v>65</v>
      </c>
      <c r="F9" s="6" t="s">
        <v>66</v>
      </c>
      <c r="G9" s="6" t="s">
        <v>56</v>
      </c>
      <c r="H9" s="6" t="s">
        <v>38</v>
      </c>
      <c r="I9" s="6" t="s">
        <v>56</v>
      </c>
      <c r="J9" s="6" t="s">
        <v>56</v>
      </c>
      <c r="K9" s="6" t="s">
        <v>47</v>
      </c>
      <c r="L9" s="6" t="s">
        <v>67</v>
      </c>
      <c r="M9" s="7" t="n">
        <v>46142</v>
      </c>
      <c r="N9" s="6" t="s">
        <v>68</v>
      </c>
      <c r="O9" s="6" t="s">
        <v>31</v>
      </c>
      <c r="P9" s="6" t="n">
        <f aca="false">IF(O9="Closed","",MAX(0,$U$1-DATE(2026,3,1)))</f>
        <v>30</v>
      </c>
      <c r="Q9" s="6" t="str">
        <f aca="false">IF(O9="Closed","No",IF(M9&lt;$U$1,"YES","No"))</f>
        <v>No</v>
      </c>
      <c r="R9" s="6"/>
    </row>
    <row r="10" customFormat="false" ht="68.65" hidden="false" customHeight="false" outlineLevel="0" collapsed="false">
      <c r="A10" s="6" t="s">
        <v>69</v>
      </c>
      <c r="B10" s="6" t="s">
        <v>70</v>
      </c>
      <c r="C10" s="6" t="s">
        <v>71</v>
      </c>
      <c r="D10" s="6" t="s">
        <v>72</v>
      </c>
      <c r="E10" s="6" t="s">
        <v>73</v>
      </c>
      <c r="F10" s="6" t="s">
        <v>74</v>
      </c>
      <c r="G10" s="6" t="s">
        <v>38</v>
      </c>
      <c r="H10" s="6" t="s">
        <v>38</v>
      </c>
      <c r="I10" s="6" t="s">
        <v>38</v>
      </c>
      <c r="J10" s="6" t="s">
        <v>38</v>
      </c>
      <c r="K10" s="6" t="s">
        <v>75</v>
      </c>
      <c r="L10" s="6" t="s">
        <v>76</v>
      </c>
      <c r="M10" s="7" t="n">
        <v>46188</v>
      </c>
      <c r="N10" s="6" t="s">
        <v>77</v>
      </c>
      <c r="O10" s="6" t="s">
        <v>60</v>
      </c>
      <c r="P10" s="6" t="n">
        <f aca="false">IF(O10="Closed","",MAX(0,$U$1-DATE(2026,3,1)))</f>
        <v>30</v>
      </c>
      <c r="Q10" s="6" t="str">
        <f aca="false">IF(O10="Closed","No",IF(M10&lt;$U$1,"YES","No"))</f>
        <v>No</v>
      </c>
      <c r="R10" s="6"/>
    </row>
    <row r="11" customFormat="false" ht="57.45" hidden="false" customHeight="false" outlineLevel="0" collapsed="false">
      <c r="A11" s="6" t="s">
        <v>78</v>
      </c>
      <c r="B11" s="6" t="s">
        <v>79</v>
      </c>
      <c r="C11" s="6" t="s">
        <v>80</v>
      </c>
      <c r="D11" s="6" t="s">
        <v>81</v>
      </c>
      <c r="E11" s="6" t="s">
        <v>82</v>
      </c>
      <c r="F11" s="6" t="s">
        <v>83</v>
      </c>
      <c r="G11" s="6" t="s">
        <v>56</v>
      </c>
      <c r="H11" s="6" t="s">
        <v>38</v>
      </c>
      <c r="I11" s="6" t="s">
        <v>56</v>
      </c>
      <c r="J11" s="6" t="s">
        <v>56</v>
      </c>
      <c r="K11" s="6" t="s">
        <v>84</v>
      </c>
      <c r="L11" s="6" t="s">
        <v>85</v>
      </c>
      <c r="M11" s="7" t="n">
        <v>46173</v>
      </c>
      <c r="N11" s="6" t="s">
        <v>86</v>
      </c>
      <c r="O11" s="6" t="s">
        <v>31</v>
      </c>
      <c r="P11" s="6" t="n">
        <f aca="false">IF(O11="Closed","",MAX(0,$U$1-DATE(2026,3,1)))</f>
        <v>30</v>
      </c>
      <c r="Q11" s="6" t="str">
        <f aca="false">IF(O11="Closed","No",IF(M11&lt;$U$1,"YES","No"))</f>
        <v>No</v>
      </c>
      <c r="R11" s="6"/>
    </row>
    <row r="12" customFormat="false" ht="57.45" hidden="false" customHeight="false" outlineLevel="0" collapsed="false">
      <c r="A12" s="6" t="s">
        <v>87</v>
      </c>
      <c r="B12" s="6" t="s">
        <v>88</v>
      </c>
      <c r="C12" s="6" t="s">
        <v>89</v>
      </c>
      <c r="D12" s="6" t="s">
        <v>90</v>
      </c>
      <c r="E12" s="6" t="s">
        <v>91</v>
      </c>
      <c r="F12" s="6" t="s">
        <v>92</v>
      </c>
      <c r="G12" s="6" t="s">
        <v>38</v>
      </c>
      <c r="H12" s="6" t="s">
        <v>27</v>
      </c>
      <c r="I12" s="6" t="s">
        <v>38</v>
      </c>
      <c r="J12" s="6" t="s">
        <v>27</v>
      </c>
      <c r="K12" s="6" t="s">
        <v>28</v>
      </c>
      <c r="L12" s="6" t="s">
        <v>93</v>
      </c>
      <c r="M12" s="7" t="n">
        <v>46265</v>
      </c>
      <c r="N12" s="6" t="s">
        <v>94</v>
      </c>
      <c r="O12" s="6" t="s">
        <v>60</v>
      </c>
      <c r="P12" s="6" t="n">
        <f aca="false">IF(O12="Closed","",MAX(0,$U$1-DATE(2026,3,1)))</f>
        <v>30</v>
      </c>
      <c r="Q12" s="6" t="str">
        <f aca="false">IF(O12="Closed","No",IF(M12&lt;$U$1,"YES","No"))</f>
        <v>No</v>
      </c>
      <c r="R12" s="6"/>
    </row>
  </sheetData>
  <mergeCells count="2">
    <mergeCell ref="A1:R1"/>
    <mergeCell ref="A2:R2"/>
  </mergeCells>
  <conditionalFormatting sqref="G5:G12">
    <cfRule type="expression" priority="2" aboveAverage="0" equalAverage="0" bottom="0" percent="0" rank="0" text="" dxfId="0">
      <formula>EXACT(G5,"High")</formula>
    </cfRule>
    <cfRule type="expression" priority="3" aboveAverage="0" equalAverage="0" bottom="0" percent="0" rank="0" text="" dxfId="1">
      <formula>EXACT(G5,"Moderate")</formula>
    </cfRule>
    <cfRule type="expression" priority="4" aboveAverage="0" equalAverage="0" bottom="0" percent="0" rank="0" text="" dxfId="2">
      <formula>EXACT(G5,"Low")</formula>
    </cfRule>
  </conditionalFormatting>
  <conditionalFormatting sqref="J5:J12">
    <cfRule type="expression" priority="5" aboveAverage="0" equalAverage="0" bottom="0" percent="0" rank="0" text="" dxfId="0">
      <formula>EXACT(J5,"High")</formula>
    </cfRule>
    <cfRule type="expression" priority="6" aboveAverage="0" equalAverage="0" bottom="0" percent="0" rank="0" text="" dxfId="1">
      <formula>EXACT(J5,"Moderate")</formula>
    </cfRule>
    <cfRule type="expression" priority="7" aboveAverage="0" equalAverage="0" bottom="0" percent="0" rank="0" text="" dxfId="2">
      <formula>EXACT(J5,"Low")</formula>
    </cfRule>
  </conditionalFormatting>
  <conditionalFormatting sqref="O5:O12">
    <cfRule type="expression" priority="8" aboveAverage="0" equalAverage="0" bottom="0" percent="0" rank="0" text="" dxfId="3">
      <formula>EXACT(O5,"Open")</formula>
    </cfRule>
    <cfRule type="expression" priority="9" aboveAverage="0" equalAverage="0" bottom="0" percent="0" rank="0" text="" dxfId="4">
      <formula>EXACT(O5,"In Progress")</formula>
    </cfRule>
    <cfRule type="expression" priority="10" aboveAverage="0" equalAverage="0" bottom="0" percent="0" rank="0" text="" dxfId="2">
      <formula>EXACT(O5,"Closed")</formula>
    </cfRule>
  </conditionalFormatting>
  <conditionalFormatting sqref="Q5:Q12">
    <cfRule type="expression" priority="11" aboveAverage="0" equalAverage="0" bottom="0" percent="0" rank="0" text="" dxfId="0">
      <formula>EXACT(Q5,"YES")</formula>
    </cfRule>
  </conditionalFormatting>
  <dataValidations count="2">
    <dataValidation allowBlank="true" errorStyle="stop" operator="between" showDropDown="false" showErrorMessage="false" showInputMessage="false" sqref="G5:J42" type="list">
      <formula1>"High,Moderate,Low"</formula1>
      <formula2>0</formula2>
    </dataValidation>
    <dataValidation allowBlank="true" errorStyle="stop" operator="between" showDropDown="false" showErrorMessage="false" showInputMessage="false" sqref="O5:O42" type="list">
      <formula1>"Open,In Progress,Closed,Risk Accepted,Deviation Requested"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8" t="s">
        <v>95</v>
      </c>
    </row>
    <row r="2" customFormat="false" ht="15" hidden="false" customHeight="false" outlineLevel="0" collapsed="false">
      <c r="A2" s="9" t="s">
        <v>96</v>
      </c>
    </row>
    <row r="4" customFormat="false" ht="15" hidden="false" customHeight="false" outlineLevel="0" collapsed="false">
      <c r="A4" s="10" t="s">
        <v>12</v>
      </c>
      <c r="B4" s="10" t="s">
        <v>60</v>
      </c>
      <c r="C4" s="10" t="s">
        <v>31</v>
      </c>
      <c r="D4" s="10" t="s">
        <v>97</v>
      </c>
      <c r="E4" s="10" t="s">
        <v>98</v>
      </c>
    </row>
    <row r="5" customFormat="false" ht="15" hidden="false" customHeight="false" outlineLevel="0" collapsed="false">
      <c r="A5" s="11" t="s">
        <v>27</v>
      </c>
      <c r="B5" s="11" t="n">
        <f aca="false">COUNTIFS('POA&amp;M'!$J$5:$J$12,$A5,'POA&amp;M'!$O$5:$O$12,"Open")</f>
        <v>1</v>
      </c>
      <c r="C5" s="11" t="n">
        <f aca="false">COUNTIFS('POA&amp;M'!$J$5:$J$12,$A5,'POA&amp;M'!$O$5:$O$12,"In Progress")</f>
        <v>2</v>
      </c>
      <c r="D5" s="11" t="n">
        <f aca="false">COUNTIFS('POA&amp;M'!$J$5:$J$12,$A5,'POA&amp;M'!$O$5:$O$12,"Closed")</f>
        <v>0</v>
      </c>
      <c r="E5" s="11" t="n">
        <f aca="false">SUM(B5:D5)</f>
        <v>3</v>
      </c>
    </row>
    <row r="6" customFormat="false" ht="15" hidden="false" customHeight="false" outlineLevel="0" collapsed="false">
      <c r="A6" s="11" t="s">
        <v>38</v>
      </c>
      <c r="B6" s="11" t="n">
        <f aca="false">COUNTIFS('POA&amp;M'!$J$5:$J$12,$A6,'POA&amp;M'!$O$5:$O$12,"Open")</f>
        <v>2</v>
      </c>
      <c r="C6" s="11" t="n">
        <f aca="false">COUNTIFS('POA&amp;M'!$J$5:$J$12,$A6,'POA&amp;M'!$O$5:$O$12,"In Progress")</f>
        <v>1</v>
      </c>
      <c r="D6" s="11" t="n">
        <f aca="false">COUNTIFS('POA&amp;M'!$J$5:$J$12,$A6,'POA&amp;M'!$O$5:$O$12,"Closed")</f>
        <v>0</v>
      </c>
      <c r="E6" s="11" t="n">
        <f aca="false">SUM(B6:D6)</f>
        <v>3</v>
      </c>
    </row>
    <row r="7" customFormat="false" ht="15" hidden="false" customHeight="false" outlineLevel="0" collapsed="false">
      <c r="A7" s="11" t="s">
        <v>56</v>
      </c>
      <c r="B7" s="11" t="n">
        <f aca="false">COUNTIFS('POA&amp;M'!$J$5:$J$12,$A7,'POA&amp;M'!$O$5:$O$12,"Open")</f>
        <v>0</v>
      </c>
      <c r="C7" s="11" t="n">
        <f aca="false">COUNTIFS('POA&amp;M'!$J$5:$J$12,$A7,'POA&amp;M'!$O$5:$O$12,"In Progress")</f>
        <v>2</v>
      </c>
      <c r="D7" s="11" t="n">
        <f aca="false">COUNTIFS('POA&amp;M'!$J$5:$J$12,$A7,'POA&amp;M'!$O$5:$O$12,"Closed")</f>
        <v>0</v>
      </c>
      <c r="E7" s="11" t="n">
        <f aca="false">SUM(B7:D7)</f>
        <v>2</v>
      </c>
    </row>
    <row r="8" customFormat="false" ht="15" hidden="false" customHeight="false" outlineLevel="0" collapsed="false">
      <c r="A8" s="12" t="s">
        <v>99</v>
      </c>
      <c r="B8" s="13" t="n">
        <f aca="false">B5+B6+B7</f>
        <v>3</v>
      </c>
      <c r="C8" s="13" t="n">
        <f aca="false">C5+C6+C7</f>
        <v>5</v>
      </c>
      <c r="D8" s="13" t="n">
        <f aca="false">D5+D6+D7</f>
        <v>0</v>
      </c>
      <c r="E8" s="13" t="n">
        <f aca="false">E5+E6+E7</f>
        <v>8</v>
      </c>
    </row>
    <row r="10" customFormat="false" ht="15" hidden="false" customHeight="false" outlineLevel="0" collapsed="false">
      <c r="A10" s="14" t="s">
        <v>100</v>
      </c>
      <c r="B10" s="15" t="n">
        <f aca="false">COUNTIF('POA&amp;M'!$Q$5:$Q$12,"YES")</f>
        <v>0</v>
      </c>
    </row>
    <row r="11" customFormat="false" ht="15" hidden="false" customHeight="false" outlineLevel="0" collapsed="false">
      <c r="A11" s="14" t="s">
        <v>101</v>
      </c>
      <c r="B11" s="15" t="str">
        <f aca="false">TEXT(MIN('POA&amp;M'!$M$5:$M$12),"yyyy-mm-dd")</f>
        <v>2026-04-30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9.7" hidden="false" customHeight="false" outlineLevel="0" collapsed="false">
      <c r="A1" s="8" t="s">
        <v>102</v>
      </c>
    </row>
    <row r="2" customFormat="false" ht="35.05" hidden="false" customHeight="false" outlineLevel="0" collapsed="false">
      <c r="A2" s="2" t="s">
        <v>103</v>
      </c>
      <c r="B2" s="16" t="s">
        <v>104</v>
      </c>
    </row>
    <row r="3" customFormat="false" ht="23.85" hidden="false" customHeight="false" outlineLevel="0" collapsed="false">
      <c r="A3" s="2" t="s">
        <v>105</v>
      </c>
      <c r="B3" s="16" t="s">
        <v>106</v>
      </c>
    </row>
    <row r="4" customFormat="false" ht="23.85" hidden="false" customHeight="false" outlineLevel="0" collapsed="false">
      <c r="A4" s="2" t="s">
        <v>107</v>
      </c>
      <c r="B4" s="16" t="s">
        <v>108</v>
      </c>
    </row>
    <row r="5" customFormat="false" ht="23.85" hidden="false" customHeight="false" outlineLevel="0" collapsed="false">
      <c r="A5" s="2" t="s">
        <v>12</v>
      </c>
      <c r="B5" s="16" t="s">
        <v>109</v>
      </c>
    </row>
    <row r="6" customFormat="false" ht="23.85" hidden="false" customHeight="false" outlineLevel="0" collapsed="false">
      <c r="A6" s="2" t="s">
        <v>110</v>
      </c>
      <c r="B6" s="16" t="s">
        <v>111</v>
      </c>
    </row>
    <row r="7" customFormat="false" ht="23.85" hidden="false" customHeight="false" outlineLevel="0" collapsed="false">
      <c r="A7" s="2" t="s">
        <v>20</v>
      </c>
      <c r="B7" s="16" t="s">
        <v>112</v>
      </c>
    </row>
    <row r="8" customFormat="false" ht="23.85" hidden="false" customHeight="false" outlineLevel="0" collapsed="false">
      <c r="A8" s="2" t="s">
        <v>113</v>
      </c>
      <c r="B8" s="16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2026-08-13T15:13:26Z</dcterms:created>
  <dc:creator>openpyxl</dc:creator>
  <dc:description/>
  <dc:language>en-US</dc:language>
  <cp:lastModifiedBy/>
  <dcterms:modified xsi:type="dcterms:W3CDTF">2026-08-13T15:13:26Z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