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IST CSF 2.0 Gap Assessment" sheetId="1" state="visible" r:id="rId1"/>
    <sheet xmlns:r="http://schemas.openxmlformats.org/officeDocument/2006/relationships" name="Maturity Summary" sheetId="2" state="visible" r:id="rId2"/>
    <sheet xmlns:r="http://schemas.openxmlformats.org/officeDocument/2006/relationships" name="Legend &amp; Methodology" sheetId="3" state="visible" r:id="rId3"/>
  </sheets>
  <definedNames>
    <definedName name="_xlnm.Print_Titles" localSheetId="0">'NIST CSF 2.0 Gap Assessment'!$4:$4</definedName>
    <definedName name="_xlnm.Print_Area" localSheetId="0">'NIST CSF 2.0 Gap Assessment'!$A$1:$K$24</definedName>
    <definedName name="_xlnm.Print_Titles" localSheetId="1">'Maturity Summary'!$3:$3</definedName>
    <definedName name="_xlnm.Print_Area" localSheetId="1">'Maturity Summary'!$A$1:$E$9</definedName>
    <definedName name="_xlnm.Print_Area" localSheetId="2">'Legend &amp; Methodology'!$A$1:$B$7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C55A11"/>
        <bgColor rgb="FF99330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bottom" wrapText="1"/>
    </xf>
    <xf numFmtId="0" fontId="7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A9D1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2E75B6"/>
      <rgbColor rgb="FF33CCCC"/>
      <rgbColor rgb="FF99CC00"/>
      <rgbColor rgb="FFFFC0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5" min="1" max="2"/>
    <col width="26" customWidth="1" style="25" min="3" max="3"/>
    <col width="34" customWidth="1" style="25" min="4" max="4"/>
    <col width="13" customWidth="1" style="25" min="5" max="5"/>
    <col width="12" customWidth="1" style="25" min="6" max="6"/>
    <col width="8" customWidth="1" style="25" min="7" max="7"/>
    <col width="10" customWidth="1" style="25" min="8" max="8"/>
    <col width="34" customWidth="1" style="25" min="9" max="10"/>
    <col width="18" customWidth="1" style="25" min="11" max="11"/>
  </cols>
  <sheetData>
    <row r="1" ht="19.7" customHeight="1" s="26">
      <c r="A1" s="27" t="inlineStr">
        <is>
          <t>TAVARES CLAIMS SERVICES, INC. — NIST CSF 2.0 GAP ASSESSMENT</t>
        </is>
      </c>
    </row>
    <row r="2" ht="15" customHeight="1" s="26">
      <c r="A2" s="28" t="inlineStr">
        <is>
          <t>Sample GRC portfolio artifact | Fictional company | Assessed against NIST Cybersecurity Framework 2.0 | Assessment date: 2026-02-01</t>
        </is>
      </c>
    </row>
    <row r="4" ht="23.85" customHeight="1" s="26">
      <c r="A4" s="29" t="inlineStr">
        <is>
          <t>Function</t>
        </is>
      </c>
      <c r="B4" s="29" t="inlineStr">
        <is>
          <t>Category ID</t>
        </is>
      </c>
      <c r="C4" s="29" t="inlineStr">
        <is>
          <t>Category / Subcategory</t>
        </is>
      </c>
      <c r="D4" s="29" t="inlineStr">
        <is>
          <t>Description</t>
        </is>
      </c>
      <c r="E4" s="29" t="inlineStr">
        <is>
          <t>Current Maturity (0-4)</t>
        </is>
      </c>
      <c r="F4" s="29" t="inlineStr">
        <is>
          <t>Target Maturity (0-4)</t>
        </is>
      </c>
      <c r="G4" s="29" t="inlineStr">
        <is>
          <t>Gap</t>
        </is>
      </c>
      <c r="H4" s="29" t="inlineStr">
        <is>
          <t>Priority</t>
        </is>
      </c>
      <c r="I4" s="29" t="inlineStr">
        <is>
          <t>Evidence / Current State</t>
        </is>
      </c>
      <c r="J4" s="29" t="inlineStr">
        <is>
          <t>Remediation Action</t>
        </is>
      </c>
      <c r="K4" s="29" t="inlineStr">
        <is>
          <t>Owner</t>
        </is>
      </c>
    </row>
    <row r="5" ht="46.25" customHeight="1" s="26">
      <c r="A5" s="30" t="inlineStr">
        <is>
          <t>GOVERN</t>
        </is>
      </c>
      <c r="B5" s="31" t="inlineStr">
        <is>
          <t>GV.OC</t>
        </is>
      </c>
      <c r="C5" s="31" t="inlineStr">
        <is>
          <t>Organizational Context</t>
        </is>
      </c>
      <c r="D5" s="31" t="inlineStr">
        <is>
          <t>The organization's mission, stakeholders, and legal/regulatory/contractual requirements are understood and inform cybersecurity risk management</t>
        </is>
      </c>
      <c r="E5" s="31" t="n">
        <v>3</v>
      </c>
      <c r="F5" s="31" t="n">
        <v>4</v>
      </c>
      <c r="G5" s="32">
        <f>IF(OR(E5="",F5=""),"",F5-E5)</f>
        <v/>
      </c>
      <c r="H5" s="32">
        <f>IF(G5="","",IF(G5&gt;=2,"High",IF(G5=1,"Medium","Low")))</f>
        <v/>
      </c>
      <c r="I5" s="31" t="inlineStr">
        <is>
          <t>Add regulatory-driver field to risk register intake so every risk traces to a specific obligation</t>
        </is>
      </c>
      <c r="J5" s="31" t="inlineStr">
        <is>
          <t>Compliance Officer</t>
        </is>
      </c>
    </row>
    <row r="6" ht="35.05" customHeight="1" s="26">
      <c r="A6" s="30" t="inlineStr">
        <is>
          <t>GOVERN</t>
        </is>
      </c>
      <c r="B6" s="31" t="inlineStr">
        <is>
          <t>GV.RM</t>
        </is>
      </c>
      <c r="C6" s="31" t="inlineStr">
        <is>
          <t>Risk Management Strategy</t>
        </is>
      </c>
      <c r="D6" s="31" t="inlineStr">
        <is>
          <t>Organizational priorities, constraints, and risk tolerance are established and used to support operational risk decisions</t>
        </is>
      </c>
      <c r="E6" s="31" t="n">
        <v>2</v>
      </c>
      <c r="F6" s="31" t="n">
        <v>4</v>
      </c>
      <c r="G6" s="32">
        <f>IF(OR(E6="",F6=""),"",F6-E6)</f>
        <v/>
      </c>
      <c r="H6" s="32">
        <f>IF(G6="","",IF(G6&gt;=2,"High",IF(G6=1,"Medium","Low")))</f>
        <v/>
      </c>
      <c r="I6" s="31" t="inlineStr">
        <is>
          <t>Draft and board-approve a formal risk appetite statement with quantitative thresholds by risk category</t>
        </is>
      </c>
      <c r="J6" s="31" t="inlineStr">
        <is>
          <t>CISO</t>
        </is>
      </c>
    </row>
    <row r="7" ht="35.05" customHeight="1" s="26">
      <c r="A7" s="30" t="inlineStr">
        <is>
          <t>GOVERN</t>
        </is>
      </c>
      <c r="B7" s="31" t="inlineStr">
        <is>
          <t>GV.RR</t>
        </is>
      </c>
      <c r="C7" s="31" t="inlineStr">
        <is>
          <t>Roles, Responsibilities, and Authorities</t>
        </is>
      </c>
      <c r="D7" s="31" t="inlineStr">
        <is>
          <t>Cybersecurity roles, responsibilities, and authorities are established, communicated, and enforced</t>
        </is>
      </c>
      <c r="E7" s="31" t="n"/>
      <c r="F7" s="31" t="n"/>
      <c r="G7" s="32">
        <f>IF(OR(E7="",F7=""),"",F7-E7)</f>
        <v/>
      </c>
      <c r="H7" s="32">
        <f>IF(G7="","",IF(G7&gt;=2,"High",IF(G7=1,"Medium","Low")))</f>
        <v/>
      </c>
      <c r="I7" s="31" t="inlineStr">
        <is>
          <t>RACI exists for incident response; not yet extended to broader security program governance</t>
        </is>
      </c>
      <c r="J7" s="31" t="inlineStr">
        <is>
          <t>Publish enterprise-wide security RACI covering all GRC and engineering functions</t>
        </is>
      </c>
      <c r="K7" s="31" t="inlineStr">
        <is>
          <t>CISO</t>
        </is>
      </c>
    </row>
    <row r="8" ht="35.05" customHeight="1" s="26">
      <c r="A8" s="30" t="inlineStr">
        <is>
          <t>GOVERN</t>
        </is>
      </c>
      <c r="B8" s="31" t="inlineStr">
        <is>
          <t>GV.PO</t>
        </is>
      </c>
      <c r="C8" s="31" t="inlineStr">
        <is>
          <t>Policy</t>
        </is>
      </c>
      <c r="D8" s="31" t="inlineStr">
        <is>
          <t>Organizational cybersecurity policy is established, communicated, and enforced</t>
        </is>
      </c>
      <c r="E8" s="31" t="n">
        <v>3</v>
      </c>
      <c r="F8" s="31" t="n">
        <v>4</v>
      </c>
      <c r="G8" s="32">
        <f>IF(OR(E8="",F8=""),"",F8-E8)</f>
        <v/>
      </c>
      <c r="H8" s="32">
        <f>IF(G8="","",IF(G8&gt;=2,"High",IF(G8=1,"Medium","Low")))</f>
        <v/>
      </c>
      <c r="I8" s="31" t="inlineStr">
        <is>
          <t>Implement policy management tool with automated review reminders and version history</t>
        </is>
      </c>
      <c r="J8" s="31" t="inlineStr">
        <is>
          <t>Compliance Officer</t>
        </is>
      </c>
    </row>
    <row r="9" ht="46.25" customHeight="1" s="26">
      <c r="A9" s="30" t="inlineStr">
        <is>
          <t>GOVERN</t>
        </is>
      </c>
      <c r="B9" s="31" t="inlineStr">
        <is>
          <t>GV.OV</t>
        </is>
      </c>
      <c r="C9" s="31" t="inlineStr">
        <is>
          <t>Oversight</t>
        </is>
      </c>
      <c r="D9" s="31" t="inlineStr">
        <is>
          <t>Results of organization-wide cybersecurity risk management activities are used to inform, improve, and adjust the strategy</t>
        </is>
      </c>
      <c r="E9" s="31" t="n">
        <v>2</v>
      </c>
      <c r="F9" s="31" t="n">
        <v>3</v>
      </c>
      <c r="G9" s="32">
        <f>IF(OR(E9="",F9=""),"",F9-E9)</f>
        <v/>
      </c>
      <c r="H9" s="32">
        <f>IF(G9="","",IF(G9&gt;=2,"High",IF(G9=1,"Medium","Low")))</f>
        <v/>
      </c>
      <c r="I9" s="31" t="inlineStr">
        <is>
          <t>Institute quarterly board-level cybersecurity risk briefing with standardized reporting template</t>
        </is>
      </c>
      <c r="J9" s="31" t="inlineStr">
        <is>
          <t>CISO</t>
        </is>
      </c>
    </row>
    <row r="10" ht="35.05" customHeight="1" s="26">
      <c r="A10" s="30" t="inlineStr">
        <is>
          <t>GOVERN</t>
        </is>
      </c>
      <c r="B10" s="31" t="inlineStr">
        <is>
          <t>GV.SC</t>
        </is>
      </c>
      <c r="C10" s="31" t="inlineStr">
        <is>
          <t>Cybersecurity Supply Chain Risk Management</t>
        </is>
      </c>
      <c r="D10" s="31" t="inlineStr">
        <is>
          <t>Cyber supply chain risk management processes are identified, established, managed, monitored, and improved</t>
        </is>
      </c>
      <c r="E10" s="31" t="n">
        <v>2</v>
      </c>
      <c r="F10" s="31" t="n">
        <v>4</v>
      </c>
      <c r="G10" s="32">
        <f>IF(OR(E10="",F10=""),"",F10-E10)</f>
        <v/>
      </c>
      <c r="H10" s="32">
        <f>IF(G10="","",IF(G10&gt;=2,"High",IF(G10=1,"Medium","Low")))</f>
        <v/>
      </c>
      <c r="I10" s="31" t="inlineStr">
        <is>
          <t>Deploy TPRM platform; require SOC 2/questionnaire before any vendor onboarding</t>
        </is>
      </c>
      <c r="J10" s="31" t="inlineStr">
        <is>
          <t>Vendor Risk Manager</t>
        </is>
      </c>
    </row>
    <row r="11" ht="35.05" customHeight="1" s="26">
      <c r="A11" s="33" t="inlineStr">
        <is>
          <t>IDENTIFY</t>
        </is>
      </c>
      <c r="B11" s="31" t="inlineStr">
        <is>
          <t>ID.AM</t>
        </is>
      </c>
      <c r="C11" s="31" t="inlineStr">
        <is>
          <t>Asset Management</t>
        </is>
      </c>
      <c r="D11" s="31" t="inlineStr">
        <is>
          <t>Assets (data, hardware, software, systems, facilities) are identified and managed</t>
        </is>
      </c>
      <c r="E11" s="31" t="n">
        <v>3</v>
      </c>
      <c r="F11" s="31" t="n">
        <v>4</v>
      </c>
      <c r="G11" s="32">
        <f>IF(OR(E11="",F11=""),"",F11-E11)</f>
        <v/>
      </c>
      <c r="H11" s="32">
        <f>IF(G11="","",IF(G11&gt;=2,"High",IF(G11=1,"Medium","Low")))</f>
        <v/>
      </c>
      <c r="I11" s="31" t="inlineStr">
        <is>
          <t>Deploy SaaS discovery/CASB tooling to close asset visibility gap</t>
        </is>
      </c>
      <c r="J11" s="31" t="inlineStr">
        <is>
          <t>IT Asset Manager</t>
        </is>
      </c>
    </row>
    <row r="12" ht="26.85" customHeight="1" s="26">
      <c r="A12" s="33" t="inlineStr">
        <is>
          <t>IDENTIFY</t>
        </is>
      </c>
      <c r="B12" s="31" t="inlineStr">
        <is>
          <t>ID.RA</t>
        </is>
      </c>
      <c r="C12" s="31" t="inlineStr">
        <is>
          <t>Risk Assessment</t>
        </is>
      </c>
      <c r="D12" s="31" t="inlineStr">
        <is>
          <t>The cybersecurity risk to the organization, assets, and individuals is understood</t>
        </is>
      </c>
      <c r="E12" s="31" t="n">
        <v>3</v>
      </c>
      <c r="F12" s="31" t="n">
        <v>4</v>
      </c>
      <c r="G12" s="32">
        <f>IF(OR(E12="",F12=""),"",F12-E12)</f>
        <v/>
      </c>
      <c r="H12" s="32">
        <f>IF(G12="","",IF(G12&gt;=2,"High",IF(G12=1,"Medium","Low")))</f>
        <v/>
      </c>
      <c r="I12" s="31" t="inlineStr">
        <is>
          <t>Extend risk assessment to include threat-intelligence-informed likelihood scoring</t>
        </is>
      </c>
      <c r="J12" s="31" t="inlineStr">
        <is>
          <t>GRC Analyst</t>
        </is>
      </c>
    </row>
    <row r="13" ht="46.25" customHeight="1" s="26">
      <c r="A13" s="33" t="inlineStr">
        <is>
          <t>IDENTIFY</t>
        </is>
      </c>
      <c r="B13" s="31" t="inlineStr">
        <is>
          <t>ID.IM</t>
        </is>
      </c>
      <c r="C13" s="31" t="inlineStr">
        <is>
          <t>Improvement</t>
        </is>
      </c>
      <c r="D13" s="31" t="inlineStr">
        <is>
          <t>Improvements to organizational cybersecurity risk management processes are identified across all CSF functions</t>
        </is>
      </c>
      <c r="E13" s="31" t="n">
        <v>2</v>
      </c>
      <c r="F13" s="31" t="n">
        <v>3</v>
      </c>
      <c r="G13" s="32">
        <f>IF(OR(E13="",F13=""),"",F13-E13)</f>
        <v/>
      </c>
      <c r="H13" s="32">
        <f>IF(G13="","",IF(G13&gt;=2,"High",IF(G13=1,"Medium","Low")))</f>
        <v/>
      </c>
      <c r="I13" s="31" t="inlineStr">
        <is>
          <t>Stand up CAPA tracker linking incident/audit findings to remediation with due dates and closure verification</t>
        </is>
      </c>
      <c r="J13" s="31" t="inlineStr">
        <is>
          <t>CISO</t>
        </is>
      </c>
    </row>
    <row r="14" ht="35.05" customHeight="1" s="26">
      <c r="A14" s="34" t="inlineStr">
        <is>
          <t>PROTECT</t>
        </is>
      </c>
      <c r="B14" s="31" t="inlineStr">
        <is>
          <t>PR.AA</t>
        </is>
      </c>
      <c r="C14" s="31" t="inlineStr">
        <is>
          <t>Identity Management, Authentication, and Access Control</t>
        </is>
      </c>
      <c r="D14" s="31" t="inlineStr">
        <is>
          <t>Access to physical and logical assets is limited to authorized users, services, and hardware</t>
        </is>
      </c>
      <c r="E14" s="31" t="n">
        <v>2</v>
      </c>
      <c r="F14" s="31" t="n">
        <v>4</v>
      </c>
      <c r="G14" s="32">
        <f>IF(OR(E14="",F14=""),"",F14-E14)</f>
        <v/>
      </c>
      <c r="H14" s="32">
        <f>IF(G14="","",IF(G14&gt;=2,"High",IF(G14=1,"Medium","Low")))</f>
        <v/>
      </c>
      <c r="I14" s="31" t="inlineStr">
        <is>
          <t>Roll out PAM with just-in-time access; complete least-privilege access recertification</t>
        </is>
      </c>
      <c r="J14" s="31" t="inlineStr">
        <is>
          <t>IAM Manager</t>
        </is>
      </c>
    </row>
    <row r="15" ht="26.85" customHeight="1" s="26">
      <c r="A15" s="34" t="inlineStr">
        <is>
          <t>PROTECT</t>
        </is>
      </c>
      <c r="B15" s="31" t="inlineStr">
        <is>
          <t>PR.AT</t>
        </is>
      </c>
      <c r="C15" s="31" t="inlineStr">
        <is>
          <t>Awareness and Training</t>
        </is>
      </c>
      <c r="D15" s="31" t="inlineStr">
        <is>
          <t>Personnel are provided cybersecurity awareness and training</t>
        </is>
      </c>
      <c r="E15" s="31" t="n">
        <v>3</v>
      </c>
      <c r="F15" s="31" t="n">
        <v>4</v>
      </c>
      <c r="G15" s="32">
        <f>IF(OR(E15="",F15=""),"",F15-E15)</f>
        <v/>
      </c>
      <c r="H15" s="32">
        <f>IF(G15="","",IF(G15&gt;=2,"High",IF(G15=1,"Medium","Low")))</f>
        <v/>
      </c>
      <c r="I15" s="31" t="inlineStr">
        <is>
          <t>Move to quarterly training cadence with role-based modules for high-risk groups</t>
        </is>
      </c>
      <c r="J15" s="31" t="inlineStr">
        <is>
          <t>Security Awareness Lead</t>
        </is>
      </c>
    </row>
    <row r="16" ht="35.05" customHeight="1" s="26">
      <c r="A16" s="34" t="inlineStr">
        <is>
          <t>PROTECT</t>
        </is>
      </c>
      <c r="B16" s="31" t="inlineStr">
        <is>
          <t>PR.DS</t>
        </is>
      </c>
      <c r="C16" s="31" t="inlineStr">
        <is>
          <t>Data Security</t>
        </is>
      </c>
      <c r="D16" s="31" t="inlineStr">
        <is>
          <t>Data is managed consistent with the organization's risk strategy to protect confidentiality, integrity, and availability</t>
        </is>
      </c>
      <c r="E16" s="31" t="n">
        <v>2</v>
      </c>
      <c r="F16" s="31" t="n">
        <v>4</v>
      </c>
      <c r="G16" s="32">
        <f>IF(OR(E16="",F16=""),"",F16-E16)</f>
        <v/>
      </c>
      <c r="H16" s="32">
        <f>IF(G16="","",IF(G16&gt;=2,"High",IF(G16=1,"Medium","Low")))</f>
        <v/>
      </c>
      <c r="I16" s="31" t="inlineStr">
        <is>
          <t>Complete encryption-at-rest remediation for all PHI-containing systems; enforce via policy and automated scanning</t>
        </is>
      </c>
      <c r="J16" s="31" t="inlineStr">
        <is>
          <t>Data Governance Lead</t>
        </is>
      </c>
    </row>
    <row r="17" ht="35.05" customHeight="1" s="26">
      <c r="A17" s="34" t="inlineStr">
        <is>
          <t>PROTECT</t>
        </is>
      </c>
      <c r="B17" s="31" t="inlineStr">
        <is>
          <t>PR.PS</t>
        </is>
      </c>
      <c r="C17" s="31" t="inlineStr">
        <is>
          <t>Platform Security</t>
        </is>
      </c>
      <c r="D17" s="31" t="inlineStr">
        <is>
          <t>The hardware, software, and services of physical and virtual platforms are managed consistent with the risk strategy</t>
        </is>
      </c>
      <c r="E17" s="31" t="n">
        <v>3</v>
      </c>
      <c r="F17" s="31" t="n">
        <v>4</v>
      </c>
      <c r="G17" s="32">
        <f>IF(OR(E17="",F17=""),"",F17-E17)</f>
        <v/>
      </c>
      <c r="H17" s="32">
        <f>IF(G17="","",IF(G17&gt;=2,"High",IF(G17=1,"Medium","Low")))</f>
        <v/>
      </c>
      <c r="I17" s="31" t="inlineStr">
        <is>
          <t>Deploy continuous cloud security posture management (CSPM) with automated guardrails</t>
        </is>
      </c>
      <c r="J17" s="31" t="inlineStr">
        <is>
          <t>Cloud Security Engineer</t>
        </is>
      </c>
    </row>
    <row r="18" ht="35.05" customHeight="1" s="26">
      <c r="A18" s="34" t="inlineStr">
        <is>
          <t>PROTECT</t>
        </is>
      </c>
      <c r="B18" s="31" t="inlineStr">
        <is>
          <t>PR.IR</t>
        </is>
      </c>
      <c r="C18" s="31" t="inlineStr">
        <is>
          <t>Technology Infrastructure Resilience</t>
        </is>
      </c>
      <c r="D18" s="31" t="inlineStr">
        <is>
          <t>Security architectures are managed to protect asset confidentiality, integrity, availability, and resilience</t>
        </is>
      </c>
      <c r="E18" s="31" t="n">
        <v>2</v>
      </c>
      <c r="F18" s="31" t="n">
        <v>3</v>
      </c>
      <c r="G18" s="32">
        <f>IF(OR(E18="",F18=""),"",F18-E18)</f>
        <v/>
      </c>
      <c r="H18" s="32">
        <f>IF(G18="","",IF(G18&gt;=2,"High",IF(G18=1,"Medium","Low")))</f>
        <v/>
      </c>
      <c r="I18" s="31" t="inlineStr">
        <is>
          <t>Stand up tested multi-region failover; conduct semi-annual DR tabletop exercises</t>
        </is>
      </c>
      <c r="J18" s="31" t="inlineStr">
        <is>
          <t>Director of Infrastructure</t>
        </is>
      </c>
    </row>
    <row r="19" ht="35.05" customHeight="1" s="26">
      <c r="A19" s="35" t="inlineStr">
        <is>
          <t>DETECT</t>
        </is>
      </c>
      <c r="B19" s="31" t="inlineStr">
        <is>
          <t>DE.CM</t>
        </is>
      </c>
      <c r="C19" s="31" t="inlineStr">
        <is>
          <t>Continuous Monitoring</t>
        </is>
      </c>
      <c r="D19" s="31" t="inlineStr">
        <is>
          <t>Assets are monitored to find anomalies, indicators of compromise, and other potentially adverse events</t>
        </is>
      </c>
      <c r="E19" s="31" t="n">
        <v>3</v>
      </c>
      <c r="F19" s="31" t="n">
        <v>4</v>
      </c>
      <c r="G19" s="32">
        <f>IF(OR(E19="",F19=""),"",F19-E19)</f>
        <v/>
      </c>
      <c r="H19" s="32">
        <f>IF(G19="","",IF(G19&gt;=2,"High",IF(G19=1,"Medium","Low")))</f>
        <v/>
      </c>
      <c r="I19" s="31" t="inlineStr">
        <is>
          <t>Onboard colocation facility logs to SIEM; tune detection rules against MITRE ATT&amp;CK healthcare threat profile</t>
        </is>
      </c>
      <c r="J19" s="31" t="inlineStr">
        <is>
          <t>Security Operations Lead</t>
        </is>
      </c>
    </row>
    <row r="20" ht="46.25" customHeight="1" s="26">
      <c r="A20" s="35" t="inlineStr">
        <is>
          <t>DETECT</t>
        </is>
      </c>
      <c r="B20" s="31" t="inlineStr">
        <is>
          <t>DE.AE</t>
        </is>
      </c>
      <c r="C20" s="31" t="inlineStr">
        <is>
          <t>Adverse Event Analysis</t>
        </is>
      </c>
      <c r="D20" s="31" t="inlineStr">
        <is>
          <t>Anomalies, indicators of compromise, and other potentially adverse events are analyzed to characterize events and detect cybersecurity incidents</t>
        </is>
      </c>
      <c r="E20" s="31" t="n">
        <v>3</v>
      </c>
      <c r="F20" s="31" t="n">
        <v>3</v>
      </c>
      <c r="G20" s="32">
        <f>IF(OR(E20="",F20=""),"",F20-E20)</f>
        <v/>
      </c>
      <c r="H20" s="32">
        <f>IF(G20="","",IF(G20&gt;=2,"High",IF(G20=1,"Medium","Low")))</f>
        <v/>
      </c>
      <c r="I20" s="31" t="inlineStr">
        <is>
          <t>Maintain current state; revisit staffing model at next headcount planning cycle</t>
        </is>
      </c>
      <c r="J20" s="31" t="inlineStr">
        <is>
          <t>Security Operations Lead</t>
        </is>
      </c>
    </row>
    <row r="21" ht="26.85" customHeight="1" s="26">
      <c r="A21" s="36" t="inlineStr">
        <is>
          <t>RESPOND</t>
        </is>
      </c>
      <c r="B21" s="31" t="inlineStr">
        <is>
          <t>RS.MA</t>
        </is>
      </c>
      <c r="C21" s="31" t="inlineStr">
        <is>
          <t>Incident Management</t>
        </is>
      </c>
      <c r="D21" s="31" t="inlineStr">
        <is>
          <t>Responses to detected cybersecurity incidents are managed</t>
        </is>
      </c>
      <c r="E21" s="31" t="n">
        <v>3</v>
      </c>
      <c r="F21" s="31" t="n">
        <v>4</v>
      </c>
      <c r="G21" s="32">
        <f>IF(OR(E21="",F21=""),"",F21-E21)</f>
        <v/>
      </c>
      <c r="H21" s="32">
        <f>IF(G21="","",IF(G21&gt;=2,"High",IF(G21=1,"Medium","Low")))</f>
        <v/>
      </c>
      <c r="I21" s="31" t="inlineStr">
        <is>
          <t>Schedule and conduct IR tabletop exercise; update plan based on findings</t>
        </is>
      </c>
      <c r="J21" s="31" t="inlineStr">
        <is>
          <t>Incident Response Lead</t>
        </is>
      </c>
    </row>
    <row r="22" ht="35.05" customHeight="1" s="26">
      <c r="A22" s="36" t="inlineStr">
        <is>
          <t>RESPOND</t>
        </is>
      </c>
      <c r="B22" s="31" t="inlineStr">
        <is>
          <t>RS.CO</t>
        </is>
      </c>
      <c r="C22" s="31" t="inlineStr">
        <is>
          <t>Incident Response Reporting and Communication</t>
        </is>
      </c>
      <c r="D22" s="31" t="inlineStr">
        <is>
          <t>Response activities are coordinated with internal and external stakeholders</t>
        </is>
      </c>
      <c r="E22" s="31" t="n">
        <v>2</v>
      </c>
      <c r="F22" s="31" t="n">
        <v>4</v>
      </c>
      <c r="G22" s="32">
        <f>IF(OR(E22="",F22=""),"",F22-E22)</f>
        <v/>
      </c>
      <c r="H22" s="32">
        <f>IF(G22="","",IF(G22&gt;=2,"High",IF(G22=1,"Medium","Low")))</f>
        <v/>
      </c>
      <c r="I22" s="31" t="inlineStr">
        <is>
          <t>Run breach-notification tabletop scenario involving Legal, Compliance, and Communications</t>
        </is>
      </c>
      <c r="J22" s="31" t="inlineStr">
        <is>
          <t>Compliance Officer</t>
        </is>
      </c>
    </row>
    <row r="23" ht="46.25" customHeight="1" s="26">
      <c r="A23" s="37" t="inlineStr">
        <is>
          <t>RECOVER</t>
        </is>
      </c>
      <c r="B23" s="31" t="inlineStr">
        <is>
          <t>RC.RP</t>
        </is>
      </c>
      <c r="C23" s="31" t="inlineStr">
        <is>
          <t>Incident Recovery Plan Execution</t>
        </is>
      </c>
      <c r="D23" s="31" t="inlineStr">
        <is>
          <t>Restoration activities are performed to ensure operational availability of systems and services affected by cybersecurity incidents</t>
        </is>
      </c>
      <c r="E23" s="31" t="n">
        <v>2</v>
      </c>
      <c r="F23" s="31" t="n">
        <v>4</v>
      </c>
      <c r="G23" s="32">
        <f>IF(OR(E23="",F23=""),"",F23-E23)</f>
        <v/>
      </c>
      <c r="H23" s="32">
        <f>IF(G23="","",IF(G23&gt;=2,"High",IF(G23=1,"Medium","Low")))</f>
        <v/>
      </c>
      <c r="I23" s="31" t="inlineStr">
        <is>
          <t>Conduct full-stack recovery exercise measuring actual RTO/RPO against BIA targets</t>
        </is>
      </c>
      <c r="J23" s="31" t="inlineStr">
        <is>
          <t>Director of Infrastructure</t>
        </is>
      </c>
    </row>
    <row r="24" ht="26.85" customHeight="1" s="26">
      <c r="A24" s="37" t="inlineStr">
        <is>
          <t>RECOVER</t>
        </is>
      </c>
      <c r="B24" s="31" t="inlineStr">
        <is>
          <t>RC.CO</t>
        </is>
      </c>
      <c r="C24" s="31" t="inlineStr">
        <is>
          <t>Incident Recovery Communication</t>
        </is>
      </c>
      <c r="D24" s="31" t="inlineStr">
        <is>
          <t>Restoration activities are coordinated with internal and external parties</t>
        </is>
      </c>
      <c r="E24" s="31" t="n">
        <v>3</v>
      </c>
      <c r="F24" s="31" t="n">
        <v>3</v>
      </c>
      <c r="G24" s="32">
        <f>IF(OR(E24="",F24=""),"",F24-E24)</f>
        <v/>
      </c>
      <c r="H24" s="32">
        <f>IF(G24="","",IF(G24&gt;=2,"High",IF(G24=1,"Medium","Low")))</f>
        <v/>
      </c>
      <c r="I24" s="31" t="inlineStr">
        <is>
          <t>Maintain current state</t>
        </is>
      </c>
      <c r="J24" s="31" t="inlineStr">
        <is>
          <t>Communications Lead</t>
        </is>
      </c>
    </row>
  </sheetData>
  <mergeCells count="2">
    <mergeCell ref="A2:K2"/>
    <mergeCell ref="A1:K1"/>
  </mergeCells>
  <conditionalFormatting sqref="H5:H24">
    <cfRule type="expression" rank="0" priority="2" equalAverage="0" aboveAverage="0" dxfId="0" text="" percent="0" bottom="0">
      <formula>H5="High"</formula>
    </cfRule>
    <cfRule type="expression" rank="0" priority="3" equalAverage="0" aboveAverage="0" dxfId="1" text="" percent="0" bottom="0">
      <formula>H5="Medium"</formula>
    </cfRule>
    <cfRule type="expression" rank="0" priority="4" equalAverage="0" aboveAverage="0" dxfId="2" text="" percent="0" bottom="0">
      <formula>H5="Low"</formula>
    </cfRule>
  </conditionalFormatting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20" customWidth="1" style="25" min="2" max="4"/>
    <col width="14" customWidth="1" style="25" min="5" max="5"/>
  </cols>
  <sheetData>
    <row r="1" ht="19.7" customHeight="1" s="26">
      <c r="A1" s="27" t="inlineStr">
        <is>
          <t>MATURITY SUMMARY BY FUNCTION</t>
        </is>
      </c>
    </row>
    <row r="3" ht="23.85" customHeight="1" s="26">
      <c r="A3" s="38" t="inlineStr">
        <is>
          <t>Function</t>
        </is>
      </c>
      <c r="B3" s="38" t="inlineStr">
        <is>
          <t># Categories Assessed</t>
        </is>
      </c>
      <c r="C3" s="38" t="inlineStr">
        <is>
          <t>Avg Current Maturity</t>
        </is>
      </c>
      <c r="D3" s="38" t="inlineStr">
        <is>
          <t>Avg Target Maturity</t>
        </is>
      </c>
      <c r="E3" s="38" t="inlineStr">
        <is>
          <t>Avg Gap</t>
        </is>
      </c>
    </row>
    <row r="4" ht="15" customHeight="1" s="26">
      <c r="A4" s="39" t="inlineStr">
        <is>
          <t>GOVERN</t>
        </is>
      </c>
      <c r="B4" s="40">
        <f>COUNTIF('NIST CSF 2.0 Gap Assessment'!$A$5:$A$24,A4)</f>
        <v/>
      </c>
      <c r="C4" s="41">
        <f>IFERROR(AVERAGEIF('NIST CSF 2.0 Gap Assessment'!$A$5:$A$24,A4,'NIST CSF 2.0 Gap Assessment'!$E$5:$E$24),"")</f>
        <v/>
      </c>
      <c r="D4" s="41">
        <f>IFERROR(AVERAGEIF('NIST CSF 2.0 Gap Assessment'!$A$5:$A$24,A4,'NIST CSF 2.0 Gap Assessment'!$F$5:$F$24),"")</f>
        <v/>
      </c>
      <c r="E4" s="41">
        <f>IF(OR(C4="",D4=""),"",D4-C4)</f>
        <v/>
      </c>
    </row>
    <row r="5" ht="15" customHeight="1" s="26">
      <c r="A5" s="42" t="inlineStr">
        <is>
          <t>IDENTIFY</t>
        </is>
      </c>
      <c r="B5" s="40">
        <f>COUNTIF('NIST CSF 2.0 Gap Assessment'!$A$5:$A$24,A5)</f>
        <v/>
      </c>
      <c r="C5" s="41">
        <f>IFERROR(AVERAGEIF('NIST CSF 2.0 Gap Assessment'!$A$5:$A$24,A5,'NIST CSF 2.0 Gap Assessment'!$E$5:$E$24),"")</f>
        <v/>
      </c>
      <c r="D5" s="41">
        <f>IFERROR(AVERAGEIF('NIST CSF 2.0 Gap Assessment'!$A$5:$A$24,A5,'NIST CSF 2.0 Gap Assessment'!$F$5:$F$24),"")</f>
        <v/>
      </c>
      <c r="E5" s="41">
        <f>IF(OR(C5="",D5=""),"",D5-C5)</f>
        <v/>
      </c>
    </row>
    <row r="6" ht="15" customHeight="1" s="26">
      <c r="A6" s="43" t="inlineStr">
        <is>
          <t>PROTECT</t>
        </is>
      </c>
      <c r="B6" s="40">
        <f>COUNTIF('NIST CSF 2.0 Gap Assessment'!$A$5:$A$24,A6)</f>
        <v/>
      </c>
      <c r="C6" s="41">
        <f>IFERROR(AVERAGEIF('NIST CSF 2.0 Gap Assessment'!$A$5:$A$24,A6,'NIST CSF 2.0 Gap Assessment'!$E$5:$E$24),"")</f>
        <v/>
      </c>
      <c r="D6" s="41">
        <f>IFERROR(AVERAGEIF('NIST CSF 2.0 Gap Assessment'!$A$5:$A$24,A6,'NIST CSF 2.0 Gap Assessment'!$F$5:$F$24),"")</f>
        <v/>
      </c>
      <c r="E6" s="41">
        <f>IF(OR(C6="",D6=""),"",D6-C6)</f>
        <v/>
      </c>
    </row>
    <row r="7" ht="15" customHeight="1" s="26">
      <c r="A7" s="44" t="inlineStr">
        <is>
          <t>DETECT</t>
        </is>
      </c>
      <c r="B7" s="40">
        <f>COUNTIF('NIST CSF 2.0 Gap Assessment'!$A$5:$A$24,A7)</f>
        <v/>
      </c>
      <c r="C7" s="41">
        <f>IFERROR(AVERAGEIF('NIST CSF 2.0 Gap Assessment'!$A$5:$A$24,A7,'NIST CSF 2.0 Gap Assessment'!$E$5:$E$24),"")</f>
        <v/>
      </c>
      <c r="D7" s="41">
        <f>IFERROR(AVERAGEIF('NIST CSF 2.0 Gap Assessment'!$A$5:$A$24,A7,'NIST CSF 2.0 Gap Assessment'!$F$5:$F$24),"")</f>
        <v/>
      </c>
      <c r="E7" s="41">
        <f>IF(OR(C7="",D7=""),"",D7-C7)</f>
        <v/>
      </c>
    </row>
    <row r="8" ht="15" customHeight="1" s="26">
      <c r="A8" s="45" t="inlineStr">
        <is>
          <t>RESPOND</t>
        </is>
      </c>
      <c r="B8" s="40">
        <f>COUNTIF('NIST CSF 2.0 Gap Assessment'!$A$5:$A$24,A8)</f>
        <v/>
      </c>
      <c r="C8" s="41">
        <f>IFERROR(AVERAGEIF('NIST CSF 2.0 Gap Assessment'!$A$5:$A$24,A8,'NIST CSF 2.0 Gap Assessment'!$E$5:$E$24),"")</f>
        <v/>
      </c>
      <c r="D8" s="41">
        <f>IFERROR(AVERAGEIF('NIST CSF 2.0 Gap Assessment'!$A$5:$A$24,A8,'NIST CSF 2.0 Gap Assessment'!$F$5:$F$24),"")</f>
        <v/>
      </c>
      <c r="E8" s="41">
        <f>IF(OR(C8="",D8=""),"",D8-C8)</f>
        <v/>
      </c>
    </row>
    <row r="9" ht="15" customHeight="1" s="26">
      <c r="A9" s="46" t="inlineStr">
        <is>
          <t>RECOVER</t>
        </is>
      </c>
      <c r="B9" s="40">
        <f>COUNTIF('NIST CSF 2.0 Gap Assessment'!$A$5:$A$24,A9)</f>
        <v/>
      </c>
      <c r="C9" s="41">
        <f>IFERROR(AVERAGEIF('NIST CSF 2.0 Gap Assessment'!$A$5:$A$24,A9,'NIST CSF 2.0 Gap Assessment'!$E$5:$E$24),"")</f>
        <v/>
      </c>
      <c r="D9" s="41">
        <f>IFERROR(AVERAGEIF('NIST CSF 2.0 Gap Assessment'!$A$5:$A$24,A9,'NIST CSF 2.0 Gap Assessment'!$F$5:$F$24),"")</f>
        <v/>
      </c>
      <c r="E9" s="41">
        <f>IF(OR(C9="",D9=""),"",D9-C9)</f>
        <v/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100" customWidth="1" style="25" min="2" max="2"/>
  </cols>
  <sheetData>
    <row r="1" ht="19.7" customHeight="1" s="26">
      <c r="A1" s="27" t="inlineStr">
        <is>
          <t>GAP ASSESSMENT — METHODOLOGY</t>
        </is>
      </c>
    </row>
    <row r="2" ht="15" customHeight="1" s="26">
      <c r="A2" s="47" t="inlineStr">
        <is>
          <t>Framework</t>
        </is>
      </c>
      <c r="B2" s="48" t="inlineStr">
        <is>
          <t>NIST Cybersecurity Framework (CSF) 2.0 — 6 Functions: Govern, Identify, Protect, Detect, Respond, Recover</t>
        </is>
      </c>
    </row>
    <row r="3" ht="23.85" customHeight="1" s="26">
      <c r="A3" s="47" t="inlineStr">
        <is>
          <t>Maturity Scale</t>
        </is>
      </c>
      <c r="B3" s="48" t="inlineStr">
        <is>
          <t>0 = Not Performed, 1 = Ad Hoc, 2 = Repeatable but Informal, 3 = Defined &amp; Managed, 4 = Optimized/Continuously Improved</t>
        </is>
      </c>
    </row>
    <row r="4" ht="15" customHeight="1" s="26">
      <c r="A4" s="47" t="inlineStr">
        <is>
          <t>Gap</t>
        </is>
      </c>
      <c r="B4" s="48" t="inlineStr">
        <is>
          <t>Target Maturity minus Current Maturity, calculated automatically</t>
        </is>
      </c>
    </row>
    <row r="5" ht="15" customHeight="1" s="26">
      <c r="A5" s="47" t="inlineStr">
        <is>
          <t>Priority</t>
        </is>
      </c>
      <c r="B5" s="48" t="inlineStr">
        <is>
          <t>Gap &gt;= 2 = High | Gap = 1 = Medium | Gap &lt;= 0 = Low</t>
        </is>
      </c>
    </row>
    <row r="6" ht="23.85" customHeight="1" s="26">
      <c r="A6" s="47" t="inlineStr">
        <is>
          <t>Scope note</t>
        </is>
      </c>
      <c r="B6" s="48" t="inlineStr">
        <is>
          <t>This sample assesses representative Categories, not every CSF Subcategory, to keep the artifact reviewable. A production assessment would score all ~106 CSF 2.0 Subcategories.</t>
        </is>
      </c>
    </row>
    <row r="7" ht="15" customHeight="1" s="26">
      <c r="A7" s="47" t="inlineStr">
        <is>
          <t>Next steps</t>
        </is>
      </c>
      <c r="B7" s="48" t="inlineStr">
        <is>
          <t>High-priority gaps feed directly into the Risk Register and inform the annual security roadmap and budget request.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2026-08-13T08:45:03Z</dcterms:created>
  <dcterms:modified xmlns:dcterms="http://purl.org/dc/terms/" xmlns:xsi="http://www.w3.org/2001/XMLSchema-instance" xsi:type="dcterms:W3CDTF">2026-08-13T20:48:10Z</dcterms:modified>
  <cp:revision>0</cp:revision>
</cp:coreProperties>
</file>