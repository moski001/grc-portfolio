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Legend &amp; Methodology" sheetId="2" state="visible" r:id="rId2"/>
    <sheet xmlns:r="http://schemas.openxmlformats.org/officeDocument/2006/relationships" name="Risk Acceptance" sheetId="3" state="visible" r:id="rId3"/>
  </sheets>
  <definedNames>
    <definedName name="_xlnm.Print_Titles" localSheetId="0">'Risk Register'!$4:$4</definedName>
    <definedName name="_xlnm.Print_Area" localSheetId="0">'Risk Register'!$A$1:$V$19</definedName>
    <definedName name="_xlnm.Print_Area" localSheetId="1">'Legend &amp; Methodology'!$A$1:$B$15</definedName>
    <definedName name="_xlnm.Print_Area" localSheetId="2">'Risk Acceptance'!$A$1:$B$18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olor rgb="00172B4D"/>
      <sz val="11"/>
    </font>
    <font>
      <name val="Arial"/>
      <b val="1"/>
      <color rgb="00172B4D"/>
      <sz val="11"/>
    </font>
    <font>
      <name val="Arial"/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B61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1" fillId="3" borderId="0" applyAlignment="1" pivotButton="0" quotePrefix="0" xfId="0">
      <alignment vertical="top" wrapText="1"/>
    </xf>
    <xf numFmtId="0" fontId="0" fillId="3" borderId="0" pivotButton="0" quotePrefix="0" xfId="0"/>
    <xf numFmtId="0" fontId="1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70AD4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V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0" min="1" max="1"/>
    <col width="13" customWidth="1" style="10" min="2" max="2"/>
    <col width="16" customWidth="1" style="10" min="3" max="3"/>
    <col width="32" customWidth="1" style="10" min="4" max="4"/>
    <col width="22" customWidth="1" style="10" min="5" max="5"/>
    <col width="16" customWidth="1" style="10" min="6" max="6"/>
    <col width="26" customWidth="1" style="10" min="7" max="7"/>
    <col width="10" customWidth="1" style="10" min="8" max="9"/>
    <col width="9" customWidth="1" style="10" min="10" max="10"/>
    <col width="11" customWidth="1" style="10" min="11" max="11"/>
    <col width="32" customWidth="1" style="10" min="12" max="12"/>
    <col width="11" customWidth="1" style="10" min="13" max="13"/>
    <col width="10" customWidth="1" style="10" min="14" max="15"/>
    <col width="9" customWidth="1" style="10" min="16" max="16"/>
    <col width="11" customWidth="1" style="10" min="17" max="17"/>
    <col width="14" customWidth="1" style="10" min="18" max="18"/>
    <col width="32" customWidth="1" style="10" min="19" max="19"/>
    <col width="16" customWidth="1" style="10" min="20" max="20"/>
    <col width="15" customWidth="1" style="10" min="21" max="21"/>
    <col width="12" customWidth="1" style="10" min="22" max="22"/>
  </cols>
  <sheetData>
    <row r="1" ht="19.7" customHeight="1" s="11">
      <c r="A1" s="12" t="inlineStr">
        <is>
          <t>TAVARES CLAIMS SERVICES, INC. — ENTERPRISE RISK REGISTER</t>
        </is>
      </c>
    </row>
    <row r="2" ht="15" customHeight="1" s="11">
      <c r="A2" s="13" t="inlineStr">
        <is>
          <t>Prepared by Chris Morrissey | Review cycle: Quarterly | Fictional organization. Created for portfolio demonstration purposes.</t>
        </is>
      </c>
    </row>
    <row r="3"/>
    <row r="4" ht="35.05" customHeight="1" s="11">
      <c r="A4" s="14" t="inlineStr">
        <is>
          <t>Risk ID</t>
        </is>
      </c>
      <c r="B4" s="14" t="inlineStr">
        <is>
          <t>Date Identified</t>
        </is>
      </c>
      <c r="C4" s="14" t="inlineStr">
        <is>
          <t>Risk Category</t>
        </is>
      </c>
      <c r="D4" s="14" t="inlineStr">
        <is>
          <t>Risk Description</t>
        </is>
      </c>
      <c r="E4" s="14" t="inlineStr">
        <is>
          <t>Asset / Process Affected</t>
        </is>
      </c>
      <c r="F4" s="14" t="inlineStr">
        <is>
          <t>Threat Source</t>
        </is>
      </c>
      <c r="G4" s="14" t="inlineStr">
        <is>
          <t>Vulnerability</t>
        </is>
      </c>
      <c r="H4" s="14" t="inlineStr">
        <is>
          <t>Inherent Likelihood (1-5)</t>
        </is>
      </c>
      <c r="I4" s="14" t="inlineStr">
        <is>
          <t>Inherent Impact (1-5)</t>
        </is>
      </c>
      <c r="J4" s="14" t="inlineStr">
        <is>
          <t>Inherent Risk Score</t>
        </is>
      </c>
      <c r="K4" s="14" t="inlineStr">
        <is>
          <t>Inherent Risk Level</t>
        </is>
      </c>
      <c r="L4" s="14" t="inlineStr">
        <is>
          <t>Existing Controls</t>
        </is>
      </c>
      <c r="M4" s="14" t="inlineStr">
        <is>
          <t>Control Effectiveness (1-5)</t>
        </is>
      </c>
      <c r="N4" s="14" t="inlineStr">
        <is>
          <t>Residual Likelihood (1-5)</t>
        </is>
      </c>
      <c r="O4" s="14" t="inlineStr">
        <is>
          <t>Residual Impact (1-5)</t>
        </is>
      </c>
      <c r="P4" s="14" t="inlineStr">
        <is>
          <t>Residual Risk Score</t>
        </is>
      </c>
      <c r="Q4" s="14" t="inlineStr">
        <is>
          <t>Residual Risk Level</t>
        </is>
      </c>
      <c r="R4" s="14" t="inlineStr">
        <is>
          <t>Risk Treatment</t>
        </is>
      </c>
      <c r="S4" s="14" t="inlineStr">
        <is>
          <t>Treatment Plan / Next Actions</t>
        </is>
      </c>
      <c r="T4" s="14" t="inlineStr">
        <is>
          <t>Risk Owner</t>
        </is>
      </c>
      <c r="U4" s="14" t="inlineStr">
        <is>
          <t>Target Remediation Date</t>
        </is>
      </c>
      <c r="V4" s="14" t="inlineStr">
        <is>
          <t>Status</t>
        </is>
      </c>
    </row>
    <row r="5" ht="46.25" customHeight="1" s="11">
      <c r="A5" s="15" t="inlineStr">
        <is>
          <t>R-001</t>
        </is>
      </c>
      <c r="B5" s="15" t="inlineStr">
        <is>
          <t>2026-01-08</t>
        </is>
      </c>
      <c r="C5" s="15" t="inlineStr">
        <is>
          <t>Data Protection</t>
        </is>
      </c>
      <c r="D5" s="15" t="inlineStr">
        <is>
          <t>Unencrypted PHI backups stored in legacy on-prem NAS accessible to broader IT staff than required</t>
        </is>
      </c>
      <c r="E5" s="15" t="inlineStr">
        <is>
          <t>Patient claims data warehouse</t>
        </is>
      </c>
      <c r="F5" s="15" t="inlineStr">
        <is>
          <t>External attacker / Malicious insider</t>
        </is>
      </c>
      <c r="G5" s="15" t="inlineStr">
        <is>
          <t>Backup volumes not encrypted at rest; excessive access group membership</t>
        </is>
      </c>
      <c r="H5" s="15" t="n">
        <v>4</v>
      </c>
      <c r="I5" s="15" t="n">
        <v>5</v>
      </c>
      <c r="J5" s="16">
        <f>H5*I5</f>
        <v/>
      </c>
      <c r="K5" s="16">
        <f>IF(J5&gt;=15,"Critical",IF(J5&gt;=10,"High",IF(J5&gt;=5,"Medium","Low")))</f>
        <v/>
      </c>
      <c r="L5" s="15" t="inlineStr">
        <is>
          <t>Encrypted nightly backups migrated to AWS S3 with SSE-KMS; access restricted to 3-person backup admin group</t>
        </is>
      </c>
      <c r="M5" s="15" t="n">
        <v>4</v>
      </c>
      <c r="N5" s="15" t="n">
        <v>2</v>
      </c>
      <c r="O5" s="15" t="n">
        <v>2</v>
      </c>
      <c r="P5" s="16">
        <f>N5*O5</f>
        <v/>
      </c>
      <c r="Q5" s="16">
        <f>IF(P5&gt;=15,"Critical",IF(P5&gt;=10,"High",IF(P5&gt;=5,"Medium","Low")))</f>
        <v/>
      </c>
      <c r="R5" s="15" t="inlineStr">
        <is>
          <t>Mitigate</t>
        </is>
      </c>
      <c r="S5" s="15" t="inlineStr">
        <is>
          <t>Complete migration to encrypted cloud backup by Q2; decommission legacy NAS; run access recertification</t>
        </is>
      </c>
      <c r="T5" s="15" t="inlineStr">
        <is>
          <t>VP Infrastructure</t>
        </is>
      </c>
      <c r="U5" s="15" t="inlineStr">
        <is>
          <t>2026-05-18</t>
        </is>
      </c>
      <c r="V5" s="15" t="inlineStr">
        <is>
          <t>In Progress</t>
        </is>
      </c>
    </row>
    <row r="6" ht="35.05" customHeight="1" s="11">
      <c r="A6" s="15" t="inlineStr">
        <is>
          <t>R-002</t>
        </is>
      </c>
      <c r="B6" s="15" t="inlineStr">
        <is>
          <t>2026-01-08</t>
        </is>
      </c>
      <c r="C6" s="15" t="inlineStr">
        <is>
          <t>Access Control</t>
        </is>
      </c>
      <c r="D6" s="15" t="inlineStr">
        <is>
          <t>Shared service account used by three ETL pipelines with standing admin privileges to production database</t>
        </is>
      </c>
      <c r="E6" s="15" t="inlineStr">
        <is>
          <t>Production PHI database</t>
        </is>
      </c>
      <c r="F6" s="15" t="inlineStr">
        <is>
          <t>Insider threat / Credential compromise</t>
        </is>
      </c>
      <c r="G6" s="15" t="inlineStr">
        <is>
          <t>No individual accountability; standing privileged access; password not rotated</t>
        </is>
      </c>
      <c r="H6" s="15" t="n">
        <v>4</v>
      </c>
      <c r="I6" s="15" t="n">
        <v>5</v>
      </c>
      <c r="J6" s="16">
        <f>H6*I6</f>
        <v/>
      </c>
      <c r="K6" s="16">
        <f>IF(J6&gt;=15,"Critical",IF(J6&gt;=10,"High",IF(J6&gt;=5,"Medium","Low")))</f>
        <v/>
      </c>
      <c r="L6" s="15" t="inlineStr">
        <is>
          <t>Service account rotated quarterly; database activity logging enabled</t>
        </is>
      </c>
      <c r="M6" s="15" t="n">
        <v>3</v>
      </c>
      <c r="N6" s="15" t="n">
        <v>3</v>
      </c>
      <c r="O6" s="15" t="n">
        <v>2</v>
      </c>
      <c r="P6" s="16">
        <f>N6*O6</f>
        <v/>
      </c>
      <c r="Q6" s="16">
        <f>IF(P6&gt;=15,"Critical",IF(P6&gt;=10,"High",IF(P6&gt;=5,"Medium","Low")))</f>
        <v/>
      </c>
      <c r="R6" s="15" t="inlineStr">
        <is>
          <t>Mitigate</t>
        </is>
      </c>
      <c r="S6" s="15" t="inlineStr">
        <is>
          <t>Migrate ETL to IAM role-based auth (no static creds); implement just-in-time privileged access via PAM tool</t>
        </is>
      </c>
      <c r="T6" s="15" t="inlineStr">
        <is>
          <t>Director of Engineering</t>
        </is>
      </c>
      <c r="U6" s="15" t="inlineStr">
        <is>
          <t>2026-04-24</t>
        </is>
      </c>
      <c r="V6" s="15" t="inlineStr">
        <is>
          <t>In Progress</t>
        </is>
      </c>
    </row>
    <row r="7" ht="46.25" customHeight="1" s="11">
      <c r="A7" s="15" t="inlineStr">
        <is>
          <t>R-003</t>
        </is>
      </c>
      <c r="B7" s="15" t="inlineStr">
        <is>
          <t>2026-01-13</t>
        </is>
      </c>
      <c r="C7" s="15" t="inlineStr">
        <is>
          <t>Third-Party / Vendor</t>
        </is>
      </c>
      <c r="D7" s="15" t="inlineStr">
        <is>
          <t>Claims clearinghouse vendor (ClaimLink Corp) has not provided a current SOC 2 Type II report</t>
        </is>
      </c>
      <c r="E7" s="15" t="inlineStr">
        <is>
          <t>Eligibility verification workflow</t>
        </is>
      </c>
      <c r="F7" s="15" t="inlineStr">
        <is>
          <t>Vendor breach / Supply chain compromise</t>
        </is>
      </c>
      <c r="G7" s="15" t="inlineStr">
        <is>
          <t>No independent assurance of vendor control environment in past 18 months</t>
        </is>
      </c>
      <c r="H7" s="15" t="n">
        <v>3</v>
      </c>
      <c r="I7" s="15" t="n">
        <v>4</v>
      </c>
      <c r="J7" s="16">
        <f>H7*I7</f>
        <v/>
      </c>
      <c r="K7" s="16">
        <f>IF(J7&gt;=15,"Critical",IF(J7&gt;=10,"High",IF(J7&gt;=5,"Medium","Low")))</f>
        <v/>
      </c>
      <c r="L7" s="15" t="inlineStr">
        <is>
          <t>Vendor contract includes data protection addendum; annual security questionnaire on file</t>
        </is>
      </c>
      <c r="M7" s="15" t="n">
        <v>2</v>
      </c>
      <c r="N7" s="15" t="n">
        <v>3</v>
      </c>
      <c r="O7" s="15" t="n">
        <v>3</v>
      </c>
      <c r="P7" s="16">
        <f>N7*O7</f>
        <v/>
      </c>
      <c r="Q7" s="16">
        <f>IF(P7&gt;=15,"Critical",IF(P7&gt;=10,"High",IF(P7&gt;=5,"Medium","Low")))</f>
        <v/>
      </c>
      <c r="R7" s="15" t="inlineStr">
        <is>
          <t>Mitigate</t>
        </is>
      </c>
      <c r="S7" s="15" t="inlineStr">
        <is>
          <t>Escalate to procurement; request updated SOC 2 Type II or bridge letter; evaluate alternate vendor if unresolved by contract renewal</t>
        </is>
      </c>
      <c r="T7" s="15" t="inlineStr">
        <is>
          <t>Vendor Risk Manager</t>
        </is>
      </c>
      <c r="U7" s="15" t="inlineStr">
        <is>
          <t>2026-03-25</t>
        </is>
      </c>
      <c r="V7" s="15" t="inlineStr">
        <is>
          <t>Open</t>
        </is>
      </c>
    </row>
    <row r="8" ht="35.05" customHeight="1" s="11">
      <c r="A8" s="15" t="inlineStr">
        <is>
          <t>R-004</t>
        </is>
      </c>
      <c r="B8" s="15" t="inlineStr">
        <is>
          <t>2026-01-20</t>
        </is>
      </c>
      <c r="C8" s="15" t="inlineStr">
        <is>
          <t>Business Continuity</t>
        </is>
      </c>
      <c r="D8" s="15" t="inlineStr">
        <is>
          <t>Single AWS region deployment with no tested failover for claims processing platform</t>
        </is>
      </c>
      <c r="E8" s="15" t="inlineStr">
        <is>
          <t>Claims processing application (us-east-1)</t>
        </is>
      </c>
      <c r="F8" s="15" t="inlineStr">
        <is>
          <t>Regional outage / Natural disaster</t>
        </is>
      </c>
      <c r="G8" s="15" t="inlineStr">
        <is>
          <t>No multi-region redundancy; DR runbook untested in 14 months</t>
        </is>
      </c>
      <c r="H8" s="15" t="n">
        <v>3</v>
      </c>
      <c r="I8" s="15" t="n">
        <v>5</v>
      </c>
      <c r="J8" s="16">
        <f>H8*I8</f>
        <v/>
      </c>
      <c r="K8" s="16">
        <f>IF(J8&gt;=15,"Critical",IF(J8&gt;=10,"High",IF(J8&gt;=5,"Medium","Low")))</f>
        <v/>
      </c>
      <c r="L8" s="15" t="inlineStr">
        <is>
          <t>Daily automated snapshots; documented (but untested) DR runbook</t>
        </is>
      </c>
      <c r="M8" s="15" t="n">
        <v>3</v>
      </c>
      <c r="N8" s="15" t="n">
        <v>4</v>
      </c>
      <c r="O8" s="15" t="n">
        <v>3</v>
      </c>
      <c r="P8" s="16">
        <f>N8*O8</f>
        <v/>
      </c>
      <c r="Q8" s="16">
        <f>IF(P8&gt;=15,"Critical",IF(P8&gt;=10,"High",IF(P8&gt;=5,"Medium","Low")))</f>
        <v/>
      </c>
      <c r="R8" s="15" t="inlineStr">
        <is>
          <t>Mitigate</t>
        </is>
      </c>
      <c r="S8" s="15" t="inlineStr">
        <is>
          <t>Stand up warm standby in us-west-2; conduct tabletop DR exercise; update BIA recovery time objectives</t>
        </is>
      </c>
      <c r="T8" s="15" t="inlineStr">
        <is>
          <t>Director of Infrastructure</t>
        </is>
      </c>
      <c r="U8" s="15" t="inlineStr">
        <is>
          <t>2026-06-24</t>
        </is>
      </c>
      <c r="V8" s="15" t="inlineStr">
        <is>
          <t>Open</t>
        </is>
      </c>
    </row>
    <row r="9" ht="35.05" customHeight="1" s="11">
      <c r="A9" s="15" t="inlineStr">
        <is>
          <t>R-005</t>
        </is>
      </c>
      <c r="B9" s="15" t="inlineStr">
        <is>
          <t>2026-01-22</t>
        </is>
      </c>
      <c r="C9" s="15" t="inlineStr">
        <is>
          <t>Application Security</t>
        </is>
      </c>
      <c r="D9" s="15" t="inlineStr">
        <is>
          <t>Customer-facing patient portal has not undergone penetration testing since acquisition of PortalWorks platform</t>
        </is>
      </c>
      <c r="E9" s="15" t="inlineStr">
        <is>
          <t>Patient self-service portal</t>
        </is>
      </c>
      <c r="F9" s="15" t="inlineStr">
        <is>
          <t>External attacker</t>
        </is>
      </c>
      <c r="G9" s="15" t="inlineStr">
        <is>
          <t>Unknown vulnerability posture on acquired codebase</t>
        </is>
      </c>
      <c r="H9" s="15" t="n">
        <v>4</v>
      </c>
      <c r="I9" s="15" t="n">
        <v>4</v>
      </c>
      <c r="J9" s="16">
        <f>H9*I9</f>
        <v/>
      </c>
      <c r="K9" s="16">
        <f>IF(J9&gt;=15,"Critical",IF(J9&gt;=10,"High",IF(J9&gt;=5,"Medium","Low")))</f>
        <v/>
      </c>
      <c r="L9" s="15" t="inlineStr">
        <is>
          <t>WAF in front of portal; automated SAST scanning in CI pipeline</t>
        </is>
      </c>
      <c r="M9" s="15" t="n">
        <v>3</v>
      </c>
      <c r="N9" s="15" t="n">
        <v>3</v>
      </c>
      <c r="O9" s="15" t="n">
        <v>3</v>
      </c>
      <c r="P9" s="16">
        <f>N9*O9</f>
        <v/>
      </c>
      <c r="Q9" s="16">
        <f>IF(P9&gt;=15,"Critical",IF(P9&gt;=10,"High",IF(P9&gt;=5,"Medium","Low")))</f>
        <v/>
      </c>
      <c r="R9" s="15" t="inlineStr">
        <is>
          <t>Mitigate</t>
        </is>
      </c>
      <c r="S9" s="15" t="inlineStr">
        <is>
          <t>Commission third-party penetration test; remediate critical/high findings before next release</t>
        </is>
      </c>
      <c r="T9" s="15" t="inlineStr">
        <is>
          <t>AppSec Lead</t>
        </is>
      </c>
      <c r="U9" s="15" t="inlineStr">
        <is>
          <t>2026-03-19</t>
        </is>
      </c>
      <c r="V9" s="15" t="inlineStr">
        <is>
          <t>Open</t>
        </is>
      </c>
    </row>
    <row r="10" ht="35.05" customHeight="1" s="11">
      <c r="A10" s="15" t="inlineStr">
        <is>
          <t>R-006</t>
        </is>
      </c>
      <c r="B10" s="15" t="inlineStr">
        <is>
          <t>2026-02-02</t>
        </is>
      </c>
      <c r="C10" s="15" t="inlineStr">
        <is>
          <t>Insider Threat</t>
        </is>
      </c>
      <c r="D10" s="15" t="inlineStr">
        <is>
          <t>Departed employees' access not consistently deprovisioned within policy SLA (24 hours)</t>
        </is>
      </c>
      <c r="E10" s="15" t="inlineStr">
        <is>
          <t>All SaaS applications (Okta-federated)</t>
        </is>
      </c>
      <c r="F10" s="15" t="inlineStr">
        <is>
          <t>Malicious/negligent former employee</t>
        </is>
      </c>
      <c r="G10" s="15" t="inlineStr">
        <is>
          <t>Manual offboarding checklist; no automated SSO deprovisioning trigger</t>
        </is>
      </c>
      <c r="H10" s="15" t="n">
        <v>3</v>
      </c>
      <c r="I10" s="15" t="n">
        <v>4</v>
      </c>
      <c r="J10" s="16">
        <f>H10*I10</f>
        <v/>
      </c>
      <c r="K10" s="16">
        <f>IF(J10&gt;=15,"Critical",IF(J10&gt;=10,"High",IF(J10&gt;=5,"Medium","Low")))</f>
        <v/>
      </c>
      <c r="L10" s="15" t="inlineStr">
        <is>
          <t>HR ticketing triggers manual IT offboarding task; monthly access audit</t>
        </is>
      </c>
      <c r="M10" s="15" t="n">
        <v>3</v>
      </c>
      <c r="N10" s="15" t="n">
        <v>2</v>
      </c>
      <c r="O10" s="15" t="n">
        <v>3</v>
      </c>
      <c r="P10" s="16">
        <f>N10*O10</f>
        <v/>
      </c>
      <c r="Q10" s="16">
        <f>IF(P10&gt;=15,"Critical",IF(P10&gt;=10,"High",IF(P10&gt;=5,"Medium","Low")))</f>
        <v/>
      </c>
      <c r="R10" s="15" t="inlineStr">
        <is>
          <t>Mitigate</t>
        </is>
      </c>
      <c r="S10" s="15" t="inlineStr">
        <is>
          <t>Automate deprovisioning via Okta Lifecycle Management tied to HRIS termination event</t>
        </is>
      </c>
      <c r="T10" s="15" t="inlineStr">
        <is>
          <t>IAM Manager</t>
        </is>
      </c>
      <c r="U10" s="15" t="inlineStr">
        <is>
          <t>2026-04-13</t>
        </is>
      </c>
      <c r="V10" s="15" t="inlineStr">
        <is>
          <t>In Progress</t>
        </is>
      </c>
    </row>
    <row r="11" ht="35.05" customHeight="1" s="11">
      <c r="A11" s="15" t="inlineStr">
        <is>
          <t>R-007</t>
        </is>
      </c>
      <c r="B11" s="15" t="inlineStr">
        <is>
          <t>2026-02-05</t>
        </is>
      </c>
      <c r="C11" s="15" t="inlineStr">
        <is>
          <t>Compliance / Regulatory</t>
        </is>
      </c>
      <c r="D11" s="15" t="inlineStr">
        <is>
          <t>Business Associate Agreements (BAAs) not on file for 2 of 11 active subcontractors handling PHI</t>
        </is>
      </c>
      <c r="E11" s="15" t="inlineStr">
        <is>
          <t>Vendor management program</t>
        </is>
      </c>
      <c r="F11" s="15" t="inlineStr">
        <is>
          <t>Regulatory (HHS OCR)</t>
        </is>
      </c>
      <c r="G11" s="15" t="inlineStr">
        <is>
          <t>Contract lifecycle gap; no centralized BAA tracking system</t>
        </is>
      </c>
      <c r="H11" s="15" t="n">
        <v>2</v>
      </c>
      <c r="I11" s="15" t="n">
        <v>5</v>
      </c>
      <c r="J11" s="16">
        <f>H11*I11</f>
        <v/>
      </c>
      <c r="K11" s="16">
        <f>IF(J11&gt;=15,"Critical",IF(J11&gt;=10,"High",IF(J11&gt;=5,"Medium","Low")))</f>
        <v/>
      </c>
      <c r="L11" s="15" t="inlineStr">
        <is>
          <t>Legal review required before vendor onboarding (policy exists, enforcement inconsistent)</t>
        </is>
      </c>
      <c r="M11" s="15" t="n">
        <v>2</v>
      </c>
      <c r="N11" s="15" t="n">
        <v>2</v>
      </c>
      <c r="O11" s="15" t="n">
        <v>4</v>
      </c>
      <c r="P11" s="16">
        <f>N11*O11</f>
        <v/>
      </c>
      <c r="Q11" s="16">
        <f>IF(P11&gt;=15,"Critical",IF(P11&gt;=10,"High",IF(P11&gt;=5,"Medium","Low")))</f>
        <v/>
      </c>
      <c r="R11" s="15" t="inlineStr">
        <is>
          <t>Mitigate</t>
        </is>
      </c>
      <c r="S11" s="15" t="inlineStr">
        <is>
          <t>Build centralized BAA tracker; obtain missing BAAs within 30 days; add BAA checkpoint to procurement workflow</t>
        </is>
      </c>
      <c r="T11" s="15" t="inlineStr">
        <is>
          <t>Compliance Officer</t>
        </is>
      </c>
      <c r="U11" s="15" t="inlineStr">
        <is>
          <t>2026-03-10</t>
        </is>
      </c>
      <c r="V11" s="15" t="inlineStr">
        <is>
          <t>Open</t>
        </is>
      </c>
    </row>
    <row r="12" ht="46.25" customHeight="1" s="11">
      <c r="A12" s="15" t="inlineStr">
        <is>
          <t>R-008</t>
        </is>
      </c>
      <c r="B12" s="15" t="inlineStr">
        <is>
          <t>2026-02-10</t>
        </is>
      </c>
      <c r="C12" s="15" t="inlineStr">
        <is>
          <t>Cloud / Infrastructure</t>
        </is>
      </c>
      <c r="D12" s="15" t="inlineStr">
        <is>
          <t>Production AWS S3 buckets identified with overly permissive bucket policies during quarterly config review</t>
        </is>
      </c>
      <c r="E12" s="15" t="inlineStr">
        <is>
          <t>Data lake / analytics staging</t>
        </is>
      </c>
      <c r="F12" s="15" t="inlineStr">
        <is>
          <t>External attacker / Data exposure</t>
        </is>
      </c>
      <c r="G12" s="15" t="inlineStr">
        <is>
          <t>Misconfiguration; no automated guardrail preventing public ACLs</t>
        </is>
      </c>
      <c r="H12" s="15" t="n">
        <v>3</v>
      </c>
      <c r="I12" s="15" t="n">
        <v>5</v>
      </c>
      <c r="J12" s="16">
        <f>H12*I12</f>
        <v/>
      </c>
      <c r="K12" s="16">
        <f>IF(J12&gt;=15,"Critical",IF(J12&gt;=10,"High",IF(J12&gt;=5,"Medium","Low")))</f>
        <v/>
      </c>
      <c r="L12" s="15" t="inlineStr">
        <is>
          <t>AWS Config rules deployed post-discovery; buckets remediated same day as found</t>
        </is>
      </c>
      <c r="M12" s="15" t="n">
        <v>1</v>
      </c>
      <c r="N12" s="15" t="n">
        <v>4</v>
      </c>
      <c r="O12" s="15" t="n">
        <v>1</v>
      </c>
      <c r="P12" s="16">
        <f>N12*O12</f>
        <v/>
      </c>
      <c r="Q12" s="16">
        <f>IF(P12&gt;=15,"Critical",IF(P12&gt;=10,"High",IF(P12&gt;=5,"Medium","Low")))</f>
        <v/>
      </c>
      <c r="R12" s="15" t="inlineStr">
        <is>
          <t>Mitigate</t>
        </is>
      </c>
      <c r="S12" s="15" t="inlineStr">
        <is>
          <t>Enable AWS Config conformance pack + SCP to block public bucket policies account-wide; add to CI/CD pre-deploy checks</t>
        </is>
      </c>
      <c r="T12" s="15" t="inlineStr">
        <is>
          <t>Cloud Security Engineer</t>
        </is>
      </c>
      <c r="U12" s="15" t="inlineStr">
        <is>
          <t>2026-02-25</t>
        </is>
      </c>
      <c r="V12" s="15" t="inlineStr">
        <is>
          <t>In Progress</t>
        </is>
      </c>
    </row>
    <row r="13" ht="46.25" customHeight="1" s="11">
      <c r="A13" s="15" t="inlineStr">
        <is>
          <t>R-009</t>
        </is>
      </c>
      <c r="B13" s="15" t="inlineStr">
        <is>
          <t>2026-02-10</t>
        </is>
      </c>
      <c r="C13" s="15" t="inlineStr">
        <is>
          <t>Physical Security</t>
        </is>
      </c>
      <c r="D13" s="15" t="inlineStr">
        <is>
          <t>Colocation data center badge access logs not reviewed on a recurring schedule</t>
        </is>
      </c>
      <c r="E13" s="15" t="inlineStr">
        <is>
          <t>Legacy colocation facility (non-AWS)</t>
        </is>
      </c>
      <c r="F13" s="15" t="inlineStr">
        <is>
          <t>Unauthorized physical access</t>
        </is>
      </c>
      <c r="G13" s="15" t="inlineStr">
        <is>
          <t>No formal quarterly physical access review process</t>
        </is>
      </c>
      <c r="H13" s="15" t="n">
        <v>2</v>
      </c>
      <c r="I13" s="15" t="n">
        <v>4</v>
      </c>
      <c r="J13" s="16">
        <f>H13*I13</f>
        <v/>
      </c>
      <c r="K13" s="16">
        <f>IF(J13&gt;=15,"Critical",IF(J13&gt;=10,"High",IF(J13&gt;=5,"Medium","Low")))</f>
        <v/>
      </c>
      <c r="L13" s="15" t="inlineStr">
        <is>
          <t>Badge system with logging; visitor escort policy</t>
        </is>
      </c>
      <c r="M13" s="15" t="n">
        <v>2</v>
      </c>
      <c r="N13" s="15" t="n">
        <v>2</v>
      </c>
      <c r="O13" s="15" t="n">
        <v>3</v>
      </c>
      <c r="P13" s="16">
        <f>N13*O13</f>
        <v/>
      </c>
      <c r="Q13" s="16">
        <f>IF(P13&gt;=15,"Critical",IF(P13&gt;=10,"High",IF(P13&gt;=5,"Medium","Low")))</f>
        <v/>
      </c>
      <c r="R13" s="15" t="inlineStr">
        <is>
          <t>Accept</t>
        </is>
      </c>
      <c r="S13" s="15" t="inlineStr">
        <is>
          <t>Add colo badge log review to quarterly physical security checklist; Medium residual risk (score 6) given facility is being decommissioned in migration plan</t>
        </is>
      </c>
      <c r="T13" s="15" t="inlineStr">
        <is>
          <t>Facilities / Security Manager</t>
        </is>
      </c>
      <c r="U13" s="15" t="inlineStr">
        <is>
          <t>2026-05-04</t>
        </is>
      </c>
      <c r="V13" s="15" t="inlineStr">
        <is>
          <t>Open</t>
        </is>
      </c>
    </row>
    <row r="14" ht="46.25" customHeight="1" s="11">
      <c r="A14" s="15" t="inlineStr">
        <is>
          <t>R-010</t>
        </is>
      </c>
      <c r="B14" s="15" t="inlineStr">
        <is>
          <t>2026-02-18</t>
        </is>
      </c>
      <c r="C14" s="15" t="inlineStr">
        <is>
          <t>Change Management</t>
        </is>
      </c>
      <c r="D14" s="15" t="inlineStr">
        <is>
          <t>Emergency changes to production billing system bypass standard change advisory board (CAB) review</t>
        </is>
      </c>
      <c r="E14" s="15" t="inlineStr">
        <is>
          <t>Billing and revenue cycle system</t>
        </is>
      </c>
      <c r="F14" s="15" t="inlineStr">
        <is>
          <t>Operational error</t>
        </is>
      </c>
      <c r="G14" s="15" t="inlineStr">
        <is>
          <t>Emergency change process lacks retrospective review requirement</t>
        </is>
      </c>
      <c r="H14" s="15" t="n">
        <v>3</v>
      </c>
      <c r="I14" s="15" t="n">
        <v>4</v>
      </c>
      <c r="J14" s="16">
        <f>H14*I14</f>
        <v/>
      </c>
      <c r="K14" s="16">
        <f>IF(J14&gt;=15,"Critical",IF(J14&gt;=10,"High",IF(J14&gt;=5,"Medium","Low")))</f>
        <v/>
      </c>
      <c r="L14" s="15" t="inlineStr">
        <is>
          <t>Emergency changes logged in ticketing system after the fact</t>
        </is>
      </c>
      <c r="M14" s="15" t="n">
        <v>3</v>
      </c>
      <c r="N14" s="15" t="n">
        <v>2</v>
      </c>
      <c r="O14" s="15" t="n">
        <v>3</v>
      </c>
      <c r="P14" s="16">
        <f>N14*O14</f>
        <v/>
      </c>
      <c r="Q14" s="16">
        <f>IF(P14&gt;=15,"Critical",IF(P14&gt;=10,"High",IF(P14&gt;=5,"Medium","Low")))</f>
        <v/>
      </c>
      <c r="R14" s="15" t="inlineStr">
        <is>
          <t>Mitigate</t>
        </is>
      </c>
      <c r="S14" s="15" t="inlineStr">
        <is>
          <t>Require mandatory 48-hour post-implementation CAB review for all emergency changes; track in change management KPIs</t>
        </is>
      </c>
      <c r="T14" s="15" t="inlineStr">
        <is>
          <t>IT Change Manager</t>
        </is>
      </c>
      <c r="U14" s="15" t="inlineStr">
        <is>
          <t>2026-04-07</t>
        </is>
      </c>
      <c r="V14" s="15" t="inlineStr">
        <is>
          <t>Open</t>
        </is>
      </c>
    </row>
    <row r="15" ht="57.45" customHeight="1" s="11">
      <c r="A15" s="15" t="inlineStr">
        <is>
          <t>R-011</t>
        </is>
      </c>
      <c r="B15" s="15" t="inlineStr">
        <is>
          <t>2026-02-20</t>
        </is>
      </c>
      <c r="C15" s="15" t="inlineStr">
        <is>
          <t>Data Protection</t>
        </is>
      </c>
      <c r="D15" s="15" t="inlineStr">
        <is>
          <t>Marketing analytics team exports de-identified patient datasets to local laptops for ad-hoc analysis</t>
        </is>
      </c>
      <c r="E15" s="15" t="inlineStr">
        <is>
          <t>Analytics / BI environment</t>
        </is>
      </c>
      <c r="F15" s="15" t="inlineStr">
        <is>
          <t>Data loss / Device theft</t>
        </is>
      </c>
      <c r="G15" s="15" t="inlineStr">
        <is>
          <t>No DLP controls on endpoint; de-identification method not independently validated</t>
        </is>
      </c>
      <c r="H15" s="15" t="n">
        <v>3</v>
      </c>
      <c r="I15" s="15" t="n">
        <v>3</v>
      </c>
      <c r="J15" s="16">
        <f>H15*I15</f>
        <v/>
      </c>
      <c r="K15" s="16">
        <f>IF(J15&gt;=15,"Critical",IF(J15&gt;=10,"High",IF(J15&gt;=5,"Medium","Low")))</f>
        <v/>
      </c>
      <c r="L15" s="15" t="inlineStr">
        <is>
          <t>Endpoint encryption (BitLocker/FileVault) enforced via MDM</t>
        </is>
      </c>
      <c r="M15" s="15" t="n">
        <v>3</v>
      </c>
      <c r="N15" s="15" t="n">
        <v>2</v>
      </c>
      <c r="O15" s="15" t="n">
        <v>2</v>
      </c>
      <c r="P15" s="16">
        <f>N15*O15</f>
        <v/>
      </c>
      <c r="Q15" s="16">
        <f>IF(P15&gt;=15,"Critical",IF(P15&gt;=10,"High",IF(P15&gt;=5,"Medium","Low")))</f>
        <v/>
      </c>
      <c r="R15" s="15" t="inlineStr">
        <is>
          <t>Mitigate</t>
        </is>
      </c>
      <c r="S15" s="15" t="inlineStr">
        <is>
          <t>Deploy DLP policy restricting bulk export; validate de-identification methodology against Safe Harbor standard; move analysis to governed workspace</t>
        </is>
      </c>
      <c r="T15" s="15" t="inlineStr">
        <is>
          <t>Data Governance Lead</t>
        </is>
      </c>
      <c r="U15" s="15" t="inlineStr">
        <is>
          <t>2026-05-27</t>
        </is>
      </c>
      <c r="V15" s="15" t="inlineStr">
        <is>
          <t>Open</t>
        </is>
      </c>
    </row>
    <row r="16" ht="46.25" customHeight="1" s="11">
      <c r="A16" s="15" t="inlineStr">
        <is>
          <t>R-012</t>
        </is>
      </c>
      <c r="B16" s="15" t="inlineStr">
        <is>
          <t>2026-02-25</t>
        </is>
      </c>
      <c r="C16" s="15" t="inlineStr">
        <is>
          <t>Third-Party / Vendor</t>
        </is>
      </c>
      <c r="D16" s="15" t="inlineStr">
        <is>
          <t>Payment processor integration relies on deprecated TLS 1.1 fallback for backward compatibility with one legacy client</t>
        </is>
      </c>
      <c r="E16" s="15" t="inlineStr">
        <is>
          <t>Payment gateway integration</t>
        </is>
      </c>
      <c r="F16" s="15" t="inlineStr">
        <is>
          <t>External attacker (protocol downgrade)</t>
        </is>
      </c>
      <c r="G16" s="15" t="inlineStr">
        <is>
          <t>Legacy client dependency delaying TLS 1.1 deprecation</t>
        </is>
      </c>
      <c r="H16" s="15" t="n">
        <v>2</v>
      </c>
      <c r="I16" s="15" t="n">
        <v>4</v>
      </c>
      <c r="J16" s="16">
        <f>H16*I16</f>
        <v/>
      </c>
      <c r="K16" s="16">
        <f>IF(J16&gt;=15,"Critical",IF(J16&gt;=10,"High",IF(J16&gt;=5,"Medium","Low")))</f>
        <v/>
      </c>
      <c r="L16" s="15" t="inlineStr">
        <is>
          <t>TLS 1.2+ enforced for 98% of traffic; monitoring on legacy endpoint</t>
        </is>
      </c>
      <c r="M16" s="15" t="n">
        <v>2</v>
      </c>
      <c r="N16" s="15" t="n">
        <v>2</v>
      </c>
      <c r="O16" s="15" t="n">
        <v>3</v>
      </c>
      <c r="P16" s="16">
        <f>N16*O16</f>
        <v/>
      </c>
      <c r="Q16" s="16">
        <f>IF(P16&gt;=15,"Critical",IF(P16&gt;=10,"High",IF(P16&gt;=5,"Medium","Low")))</f>
        <v/>
      </c>
      <c r="R16" s="15" t="inlineStr">
        <is>
          <t>Mitigate</t>
        </is>
      </c>
      <c r="S16" s="15" t="inlineStr">
        <is>
          <t>Migrate final legacy client to TLS 1.2 by contract deadline; disable TLS 1.1 fallback entirely</t>
        </is>
      </c>
      <c r="T16" s="15" t="inlineStr">
        <is>
          <t>Director of Engineering</t>
        </is>
      </c>
      <c r="U16" s="15" t="inlineStr">
        <is>
          <t>2026-06-05</t>
        </is>
      </c>
      <c r="V16" s="15" t="inlineStr">
        <is>
          <t>Open</t>
        </is>
      </c>
    </row>
    <row r="17" ht="46.25" customHeight="1" s="11">
      <c r="A17" s="15" t="inlineStr">
        <is>
          <t>R-013</t>
        </is>
      </c>
      <c r="B17" s="15" t="inlineStr">
        <is>
          <t>2026-03-02</t>
        </is>
      </c>
      <c r="C17" s="15" t="inlineStr">
        <is>
          <t>Human Resources / Security Awareness</t>
        </is>
      </c>
      <c r="D17" s="15" t="inlineStr">
        <is>
          <t>Phishing simulation click rate (14%) exceeds industry benchmark and internal target (5%)</t>
        </is>
      </c>
      <c r="E17" s="15" t="inlineStr">
        <is>
          <t>All employees (email)</t>
        </is>
      </c>
      <c r="F17" s="15" t="inlineStr">
        <is>
          <t>External attacker (phishing/BEC)</t>
        </is>
      </c>
      <c r="G17" s="15" t="inlineStr">
        <is>
          <t>Insufficient security awareness training cadence; no role-based training for high-risk groups</t>
        </is>
      </c>
      <c r="H17" s="15" t="n">
        <v>4</v>
      </c>
      <c r="I17" s="15" t="n">
        <v>3</v>
      </c>
      <c r="J17" s="16">
        <f>H17*I17</f>
        <v/>
      </c>
      <c r="K17" s="16">
        <f>IF(J17&gt;=15,"Critical",IF(J17&gt;=10,"High",IF(J17&gt;=5,"Medium","Low")))</f>
        <v/>
      </c>
      <c r="L17" s="15" t="inlineStr">
        <is>
          <t>Annual security awareness training; email banner tagging for external senders</t>
        </is>
      </c>
      <c r="M17" s="15" t="n">
        <v>3</v>
      </c>
      <c r="N17" s="15" t="n">
        <v>2</v>
      </c>
      <c r="O17" s="15" t="n">
        <v>2</v>
      </c>
      <c r="P17" s="16">
        <f>N17*O17</f>
        <v/>
      </c>
      <c r="Q17" s="16">
        <f>IF(P17&gt;=15,"Critical",IF(P17&gt;=10,"High",IF(P17&gt;=5,"Medium","Low")))</f>
        <v/>
      </c>
      <c r="R17" s="15" t="inlineStr">
        <is>
          <t>Mitigate</t>
        </is>
      </c>
      <c r="S17" s="15" t="inlineStr">
        <is>
          <t>Move to quarterly phishing simulations; targeted training for finance and HR (BEC-high-risk); track click rate as security KPI</t>
        </is>
      </c>
      <c r="T17" s="15" t="inlineStr">
        <is>
          <t>Security Awareness Lead</t>
        </is>
      </c>
      <c r="U17" s="15" t="inlineStr">
        <is>
          <t>2026-04-24</t>
        </is>
      </c>
      <c r="V17" s="15" t="inlineStr">
        <is>
          <t>In Progress</t>
        </is>
      </c>
    </row>
    <row r="18" ht="110" customHeight="1" s="11">
      <c r="A18" s="15" t="inlineStr">
        <is>
          <t>R-014</t>
        </is>
      </c>
      <c r="B18" s="15" t="inlineStr">
        <is>
          <t>2026-03-05</t>
        </is>
      </c>
      <c r="C18" s="15" t="inlineStr">
        <is>
          <t>Application Security</t>
        </is>
      </c>
      <c r="D18" s="15" t="inlineStr">
        <is>
          <t>API rate limiting not enforced on provider directory public API, enabling potential scraping/enumeration</t>
        </is>
      </c>
      <c r="E18" s="15" t="inlineStr">
        <is>
          <t>Provider directory API (public)</t>
        </is>
      </c>
      <c r="F18" s="15" t="inlineStr">
        <is>
          <t>External attacker (data scraping)</t>
        </is>
      </c>
      <c r="G18" s="15" t="inlineStr">
        <is>
          <t>No rate limiting or bot detection at API gateway</t>
        </is>
      </c>
      <c r="H18" s="15" t="n">
        <v>3</v>
      </c>
      <c r="I18" s="15" t="n">
        <v>2</v>
      </c>
      <c r="J18" s="16">
        <f>H18*I18</f>
        <v/>
      </c>
      <c r="K18" s="16">
        <f>IF(J18&gt;=15,"Critical",IF(J18&gt;=10,"High",IF(J18&gt;=5,"Medium","Low")))</f>
        <v/>
      </c>
      <c r="L18" s="15" t="inlineStr">
        <is>
          <t>API gateway logging enabled; basic authentication required for write operations</t>
        </is>
      </c>
      <c r="M18" s="15" t="n">
        <v>2</v>
      </c>
      <c r="N18" s="15" t="n">
        <v>2</v>
      </c>
      <c r="O18" s="15" t="n">
        <v>1</v>
      </c>
      <c r="P18" s="16">
        <f>N18*O18</f>
        <v/>
      </c>
      <c r="Q18" s="16">
        <f>IF(P18&gt;=15,"Critical",IF(P18&gt;=10,"High",IF(P18&gt;=5,"Medium","Low")))</f>
        <v/>
      </c>
      <c r="R18" s="15" t="inlineStr">
        <is>
          <t>Accept</t>
        </is>
      </c>
      <c r="S18" s="15" t="inlineStr">
        <is>
          <t>Accepted under ACC-014 by Elena Voss, COO, on 2026-03-12. Public directory data and Low residual score 2 do not justify immediate remediation cost. Monitor abuse; retain Q3 rate-limiting backlog. See Risk Acceptance for authority and conditions.</t>
        </is>
      </c>
      <c r="T18" s="15" t="inlineStr">
        <is>
          <t>API Platform Lead</t>
        </is>
      </c>
      <c r="U18" s="15" t="inlineStr">
        <is>
          <t>2026-07-24</t>
        </is>
      </c>
      <c r="V18" s="15" t="inlineStr">
        <is>
          <t>Open</t>
        </is>
      </c>
    </row>
    <row r="19" ht="100" customHeight="1" s="11">
      <c r="A19" s="15" t="inlineStr">
        <is>
          <t>R-015</t>
        </is>
      </c>
      <c r="B19" s="15" t="inlineStr">
        <is>
          <t>2026-03-10</t>
        </is>
      </c>
      <c r="C19" s="15" t="inlineStr">
        <is>
          <t>Business Continuity</t>
        </is>
      </c>
      <c r="D19" s="15" t="inlineStr">
        <is>
          <t>Key-person dependency: single engineer holds undocumented knowledge of legacy claims adjudication rules engine</t>
        </is>
      </c>
      <c r="E19" s="15" t="inlineStr">
        <is>
          <t>Claims adjudication system</t>
        </is>
      </c>
      <c r="F19" s="15" t="inlineStr">
        <is>
          <t>Operational / Staffing</t>
        </is>
      </c>
      <c r="G19" s="15" t="inlineStr">
        <is>
          <t>No documentation; no cross-training; high attrition risk role</t>
        </is>
      </c>
      <c r="H19" s="15" t="n">
        <v>3</v>
      </c>
      <c r="I19" s="15" t="n">
        <v>4</v>
      </c>
      <c r="J19" s="16">
        <f>H19*I19</f>
        <v/>
      </c>
      <c r="K19" s="16">
        <f>IF(J19&gt;=15,"Critical",IF(J19&gt;=10,"High",IF(J19&gt;=5,"Medium","Low")))</f>
        <v/>
      </c>
      <c r="L19" s="15" t="inlineStr">
        <is>
          <t>None formal; tribal knowledge only</t>
        </is>
      </c>
      <c r="M19" s="15" t="n">
        <v>3</v>
      </c>
      <c r="N19" s="15" t="n">
        <v>4</v>
      </c>
      <c r="O19" s="15" t="n">
        <v>3</v>
      </c>
      <c r="P19" s="16">
        <f>N19*O19</f>
        <v/>
      </c>
      <c r="Q19" s="16">
        <f>IF(P19&gt;=15,"Critical",IF(P19&gt;=10,"High",IF(P19&gt;=5,"Medium","Low")))</f>
        <v/>
      </c>
      <c r="R19" s="15" t="inlineStr">
        <is>
          <t>Mitigate</t>
        </is>
      </c>
      <c r="S19" s="15" t="inlineStr">
        <is>
          <t>Document rules engine logic and decision tables; cross-train second engineer; add to succession plan. Inherent score 12 ties R-003, R-006, R-010, R-013 and R-017; R-015 stays at 12 residual because no formal controls are recorded.</t>
        </is>
      </c>
      <c r="T19" s="15" t="inlineStr">
        <is>
          <t>Engineering Manager</t>
        </is>
      </c>
      <c r="U19" s="15" t="inlineStr">
        <is>
          <t>2026-05-18</t>
        </is>
      </c>
      <c r="V19" s="15" t="inlineStr">
        <is>
          <t>Open</t>
        </is>
      </c>
    </row>
    <row r="20" ht="100" customHeight="1" s="11">
      <c r="A20" s="15" t="inlineStr">
        <is>
          <t>R-016</t>
        </is>
      </c>
      <c r="B20" s="15" t="inlineStr">
        <is>
          <t>2026-03-17</t>
        </is>
      </c>
      <c r="C20" s="15" t="inlineStr">
        <is>
          <t>Third-Party / Vendor</t>
        </is>
      </c>
      <c r="D20" s="15" t="inlineStr">
        <is>
          <t>ClaimLink Corp contract allows 5 business days to notify Tavares of a confirmed breach, and ClaimLink last tested its IR plan 14 months ago</t>
        </is>
      </c>
      <c r="E20" s="15" t="inlineStr">
        <is>
          <t>Breach notification process (HIPAA Breach Notification Rule)</t>
        </is>
      </c>
      <c r="F20" s="15" t="inlineStr">
        <is>
          <t>Vendor breach / Delayed notification</t>
        </is>
      </c>
      <c r="G20" s="15" t="inlineStr">
        <is>
          <t>Notification window negotiated before Tavares set an internal 72-hour vendor standard; contract auto-renewed 2026-01-13 on existing terms</t>
        </is>
      </c>
      <c r="H20" s="15" t="n">
        <v>2</v>
      </c>
      <c r="I20" s="15" t="n">
        <v>4</v>
      </c>
      <c r="J20" s="16">
        <f>H20*I20</f>
        <v/>
      </c>
      <c r="K20" s="16">
        <f>IF(J20&gt;=15,"Critical",IF(J20&gt;=10,"High",IF(J20&gt;=5,"Medium","Low")))</f>
        <v/>
      </c>
      <c r="L20" s="15" t="inlineStr">
        <is>
          <t>BAA executed with ClaimLink; annual security questionnaire (V-001) on file</t>
        </is>
      </c>
      <c r="M20" s="15" t="n">
        <v>2</v>
      </c>
      <c r="N20" s="15" t="n">
        <v>2</v>
      </c>
      <c r="O20" s="15" t="n">
        <v>3</v>
      </c>
      <c r="P20" s="16">
        <f>N20*O20</f>
        <v/>
      </c>
      <c r="Q20" s="16">
        <f>IF(P20&gt;=15,"Critical",IF(P20&gt;=10,"High",IF(P20&gt;=5,"Medium","Low")))</f>
        <v/>
      </c>
      <c r="R20" s="15" t="inlineStr">
        <is>
          <t>Mitigate</t>
        </is>
      </c>
      <c r="S20" s="15" t="inlineStr">
        <is>
          <t>Amend BAA to require notice within 72 hours of discovery; request ClaimLink IR tabletop results with the SOC 2 Type II delivery tracked under R-003</t>
        </is>
      </c>
      <c r="T20" s="15" t="inlineStr">
        <is>
          <t>Vendor Risk Manager</t>
        </is>
      </c>
      <c r="U20" s="15" t="inlineStr">
        <is>
          <t>2026-07-13</t>
        </is>
      </c>
      <c r="V20" s="15" t="inlineStr">
        <is>
          <t>Open</t>
        </is>
      </c>
    </row>
    <row r="21" ht="100" customHeight="1" s="11">
      <c r="A21" s="15" t="inlineStr">
        <is>
          <t>R-017</t>
        </is>
      </c>
      <c r="B21" s="15" t="inlineStr">
        <is>
          <t>2026-03-19</t>
        </is>
      </c>
      <c r="C21" s="15" t="inlineStr">
        <is>
          <t>Third-Party / Vendor</t>
        </is>
      </c>
      <c r="D21" s="15" t="inlineStr">
        <is>
          <t>Offsite paper-records vendor DataVault Records Mgmt (V-006) holds archived PHI, scored 65 at its last assessment, and has no SOC 2 report on file</t>
        </is>
      </c>
      <c r="E21" s="15" t="inlineStr">
        <is>
          <t>Archived paper PHI records (storage and destruction)</t>
        </is>
      </c>
      <c r="F21" s="15" t="inlineStr">
        <is>
          <t>Vendor breach / Improper disposal</t>
        </is>
      </c>
      <c r="G21" s="15" t="inlineStr">
        <is>
          <t>Calculated vendor rating is High, but the sign-off and remediation plan required for High-rated vendors were never recorded</t>
        </is>
      </c>
      <c r="H21" s="15" t="n">
        <v>3</v>
      </c>
      <c r="I21" s="15" t="n">
        <v>4</v>
      </c>
      <c r="J21" s="16">
        <f>H21*I21</f>
        <v/>
      </c>
      <c r="K21" s="16">
        <f>IF(J21&gt;=15,"Critical",IF(J21&gt;=10,"High",IF(J21&gt;=5,"Medium","Low")))</f>
        <v/>
      </c>
      <c r="L21" s="15" t="inlineStr">
        <is>
          <t>Vendor inventory flags High rating; annual questionnaire on file</t>
        </is>
      </c>
      <c r="M21" s="15" t="n">
        <v>2</v>
      </c>
      <c r="N21" s="15" t="n">
        <v>3</v>
      </c>
      <c r="O21" s="15" t="n">
        <v>3</v>
      </c>
      <c r="P21" s="16">
        <f>N21*O21</f>
        <v/>
      </c>
      <c r="Q21" s="16">
        <f>IF(P21&gt;=15,"Critical",IF(P21&gt;=10,"High",IF(P21&gt;=5,"Medium","Low")))</f>
        <v/>
      </c>
      <c r="R21" s="15" t="inlineStr">
        <is>
          <t>Mitigate</t>
        </is>
      </c>
      <c r="S21" s="15" t="inlineStr">
        <is>
          <t>Obtain Vendor Risk Manager and Compliance Officer sign-off with a remediation plan before the 2026-04-07 renewal, or move archived records to a vendor that can evidence certified destruction</t>
        </is>
      </c>
      <c r="T21" s="15" t="inlineStr">
        <is>
          <t>Compliance Officer</t>
        </is>
      </c>
      <c r="U21" s="15" t="inlineStr">
        <is>
          <t>2026-04-07</t>
        </is>
      </c>
      <c r="V21" s="15" t="inlineStr">
        <is>
          <t>Open</t>
        </is>
      </c>
    </row>
  </sheetData>
  <mergeCells count="2">
    <mergeCell ref="A2:V2"/>
    <mergeCell ref="A1:V1"/>
  </mergeCells>
  <conditionalFormatting sqref="K5:K21">
    <cfRule type="expression" rank="0" priority="2" equalAverage="0" aboveAverage="0" dxfId="0" text="" percent="0" bottom="0">
      <formula>K5="Critical"</formula>
    </cfRule>
    <cfRule type="expression" rank="0" priority="3" equalAverage="0" aboveAverage="0" dxfId="1" text="" percent="0" bottom="0">
      <formula>K5="High"</formula>
    </cfRule>
    <cfRule type="expression" rank="0" priority="4" equalAverage="0" aboveAverage="0" dxfId="2" text="" percent="0" bottom="0">
      <formula>K5="Medium"</formula>
    </cfRule>
    <cfRule type="expression" rank="0" priority="5" equalAverage="0" aboveAverage="0" dxfId="3" text="" percent="0" bottom="0">
      <formula>K5="Low"</formula>
    </cfRule>
  </conditionalFormatting>
  <conditionalFormatting sqref="Q5:Q21">
    <cfRule type="expression" rank="0" priority="6" equalAverage="0" aboveAverage="0" dxfId="0" text="" percent="0" bottom="0">
      <formula>Q5="Critical"</formula>
    </cfRule>
    <cfRule type="expression" rank="0" priority="7" equalAverage="0" aboveAverage="0" dxfId="1" text="" percent="0" bottom="0">
      <formula>Q5="High"</formula>
    </cfRule>
    <cfRule type="expression" rank="0" priority="8" equalAverage="0" aboveAverage="0" dxfId="2" text="" percent="0" bottom="0">
      <formula>Q5="Medium"</formula>
    </cfRule>
    <cfRule type="expression" rank="0" priority="9" equalAverage="0" aboveAverage="0" dxfId="3" text="" percent="0" bottom="0">
      <formula>Q5="Low"</formula>
    </cfRule>
  </conditionalFormatting>
  <dataValidations count="4">
    <dataValidation sqref="C5:C39" showDropDown="0" showInputMessage="0" showErrorMessage="0" allowBlank="1" type="list" errorStyle="stop" operator="between">
      <formula1>"Data Protection,Access Control,Third-Party / Vendor,Business Continuity,Application Security,Cloud / Infrastructure,Compliance / Regulatory,Insider Threat,Physical Security,Change Management,Human Resources / Security Awareness"</formula1>
      <formula2>0</formula2>
    </dataValidation>
    <dataValidation sqref="H5:I39 M5:O39" showDropDown="0" showInputMessage="0" showErrorMessage="0" allowBlank="1" type="whole" errorStyle="stop" operator="between">
      <formula1>1</formula1>
      <formula2>5</formula2>
    </dataValidation>
    <dataValidation sqref="R5:R39" showDropDown="0" showInputMessage="0" showErrorMessage="0" allowBlank="1" type="list" errorStyle="stop" operator="between">
      <formula1>"Accept,Mitigate,Transfer,Avoid"</formula1>
      <formula2>0</formula2>
    </dataValidation>
    <dataValidation sqref="V5:V39" showDropDown="0" showInputMessage="0" showErrorMessage="0" allowBlank="1" type="list" errorStyle="stop" operator="between">
      <formula1>"Open,In Progress,Closed,Overdue"</formula1>
      <formula2>0</formula2>
    </dataValidation>
  </dataValidations>
  <printOptions horizontalCentered="0" verticalCentered="0" headings="0" gridLines="0" gridLinesSet="1"/>
  <pageMargins left="0.25" right="0.25" top="0.35" bottom="0.35" header="0.15" footer="0.15"/>
  <pageSetup orientation="landscape" paperSize="3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0" min="1" max="1"/>
    <col width="90" customWidth="1" style="10" min="2" max="2"/>
  </cols>
  <sheetData>
    <row r="1" ht="19.7" customHeight="1" s="11">
      <c r="A1" s="12" t="inlineStr">
        <is>
          <t>RISK REGISTER — METHODOLOGY &amp; LEGEND</t>
        </is>
      </c>
    </row>
    <row r="2" ht="15" customHeight="1" s="11">
      <c r="A2" s="17" t="n"/>
      <c r="B2" s="18" t="n"/>
    </row>
    <row r="3" ht="15" customHeight="1" s="11">
      <c r="A3" s="17" t="inlineStr">
        <is>
          <t>Risk Scoring</t>
        </is>
      </c>
      <c r="B3" s="18" t="inlineStr">
        <is>
          <t>Risk Score = Likelihood (1-5) x Impact (1-5). Range 1-25.</t>
        </is>
      </c>
    </row>
    <row r="4" ht="15" customHeight="1" s="11">
      <c r="A4" s="17" t="inlineStr">
        <is>
          <t>Critical</t>
        </is>
      </c>
      <c r="B4" s="18" t="inlineStr">
        <is>
          <t>15-25 — Immediate executive escalation and remediation required</t>
        </is>
      </c>
    </row>
    <row r="5" ht="15" customHeight="1" s="11">
      <c r="A5" s="17" t="inlineStr">
        <is>
          <t>High</t>
        </is>
      </c>
      <c r="B5" s="18" t="inlineStr">
        <is>
          <t>10-14 — Remediation plan required within 30-60 days</t>
        </is>
      </c>
    </row>
    <row r="6" ht="15" customHeight="1" s="11">
      <c r="A6" s="17" t="inlineStr">
        <is>
          <t>Medium</t>
        </is>
      </c>
      <c r="B6" s="18" t="inlineStr">
        <is>
          <t>5-9 — Remediation plan required within 90 days, or documented risk acceptance</t>
        </is>
      </c>
    </row>
    <row r="7" ht="15" customHeight="1" s="11">
      <c r="A7" s="17" t="inlineStr">
        <is>
          <t>Low</t>
        </is>
      </c>
      <c r="B7" s="18" t="inlineStr">
        <is>
          <t>1-4 — Monitor; remediate opportunistically or formally accept</t>
        </is>
      </c>
    </row>
    <row r="8" ht="15" customHeight="1" s="11">
      <c r="A8" s="17" t="n"/>
      <c r="B8" s="18" t="n"/>
    </row>
    <row r="9" ht="15" customHeight="1" s="11">
      <c r="A9" s="17" t="inlineStr">
        <is>
          <t>Likelihood Scale</t>
        </is>
      </c>
      <c r="B9" s="18" t="inlineStr">
        <is>
          <t>1=Rare, 2=Unlikely, 3=Possible, 4=Likely, 5=Almost Certain</t>
        </is>
      </c>
    </row>
    <row r="10" ht="15" customHeight="1" s="11">
      <c r="A10" s="17" t="inlineStr">
        <is>
          <t>Impact Scale</t>
        </is>
      </c>
      <c r="B10" s="18" t="inlineStr">
        <is>
          <t>1=Negligible, 2=Minor, 3=Moderate, 4=Major, 5=Severe (regulatory, financial, or patient-safety consequence)</t>
        </is>
      </c>
    </row>
    <row r="11" ht="15" customHeight="1" s="11">
      <c r="A11" s="17" t="n"/>
      <c r="B11" s="18" t="n"/>
    </row>
    <row r="12" ht="23.85" customHeight="1" s="11">
      <c r="A12" s="17" t="inlineStr">
        <is>
          <t>Risk Treatment Options</t>
        </is>
      </c>
      <c r="B12" s="18" t="inlineStr">
        <is>
          <t>Accept = retain risk within tolerance; Mitigate = reduce likelihood/impact via controls; Transfer = insurance/contract; Avoid = discontinue the activity</t>
        </is>
      </c>
    </row>
    <row r="13" ht="15" customHeight="1" s="11">
      <c r="A13" s="17" t="n"/>
      <c r="B13" s="18" t="n"/>
    </row>
    <row r="14" ht="23.85" customHeight="1" s="11">
      <c r="A14" s="17" t="inlineStr">
        <is>
          <t>How to use this cells</t>
        </is>
      </c>
      <c r="B14" s="18" t="inlineStr">
        <is>
          <t>Blue-bordered numeric cells (Likelihood/Impact/Effectiveness) are the editable inputs. Risk Score and Risk Level columns are formulas — do not hardcode.</t>
        </is>
      </c>
    </row>
    <row r="15" ht="23.85" customHeight="1" s="11">
      <c r="A15" s="17" t="inlineStr">
        <is>
          <t>Review Cadence</t>
        </is>
      </c>
      <c r="B15" s="18" t="inlineStr">
        <is>
          <t>Full register reviewed quarterly by the GRC function; Critical/High risks reviewed monthly by risk owners; register updated continuously as new risks are identified.</t>
        </is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style="11" min="1" max="1"/>
    <col width="91" customWidth="1" style="11" min="2" max="2"/>
  </cols>
  <sheetData>
    <row r="1" ht="34" customHeight="1" s="11">
      <c r="A1" s="19" t="inlineStr">
        <is>
          <t>TAVARES RISK ACCEPTANCE RECORD</t>
        </is>
      </c>
    </row>
    <row r="2" ht="40" customHeight="1" s="11">
      <c r="A2" s="21" t="inlineStr">
        <is>
          <t>Scenario status</t>
        </is>
      </c>
      <c r="B2" s="22" t="inlineStr">
        <is>
          <t>Fictional decision and personnel, authored for this portfolio exercise. No real executive approval is represented.</t>
        </is>
      </c>
    </row>
    <row r="3" ht="30" customHeight="1" s="11">
      <c r="A3" s="21" t="inlineStr">
        <is>
          <t>Acceptance ID</t>
        </is>
      </c>
      <c r="B3" s="22" t="inlineStr">
        <is>
          <t>ACC-014</t>
        </is>
      </c>
    </row>
    <row r="4" ht="30" customHeight="1" s="11">
      <c r="A4" s="21" t="inlineStr">
        <is>
          <t>Related risk</t>
        </is>
      </c>
      <c r="B4" s="22" t="inlineStr">
        <is>
          <t>R-014</t>
        </is>
      </c>
    </row>
    <row r="5" ht="30" customHeight="1" s="11">
      <c r="A5" s="21" t="inlineStr">
        <is>
          <t>Decision</t>
        </is>
      </c>
      <c r="B5" s="22" t="inlineStr">
        <is>
          <t>Accept with monitoring</t>
        </is>
      </c>
    </row>
    <row r="6" ht="30" customHeight="1" s="11">
      <c r="A6" s="21" t="inlineStr">
        <is>
          <t>Accepter</t>
        </is>
      </c>
      <c r="B6" s="22" t="inlineStr">
        <is>
          <t>Elena Voss</t>
        </is>
      </c>
    </row>
    <row r="7" ht="30" customHeight="1" s="11">
      <c r="A7" s="21" t="inlineStr">
        <is>
          <t>Role</t>
        </is>
      </c>
      <c r="B7" s="22" t="inlineStr">
        <is>
          <t>Chief Operating Officer</t>
        </is>
      </c>
    </row>
    <row r="8" ht="66" customHeight="1" s="11">
      <c r="A8" s="21" t="inlineStr">
        <is>
          <t>Delegated authority</t>
        </is>
      </c>
      <c r="B8" s="22" t="inlineStr">
        <is>
          <t>Scenario risk charter delegates acceptance of Low residual operational risks involving public data to the COO. No authority to waive legal obligations or accept PHI disclosure risk.</t>
        </is>
      </c>
    </row>
    <row r="9" ht="30" customHeight="1" s="11">
      <c r="A9" s="21" t="inlineStr">
        <is>
          <t>Decision date</t>
        </is>
      </c>
      <c r="B9" s="24" t="n">
        <v>46093</v>
      </c>
    </row>
    <row r="10" ht="30" customHeight="1" s="11">
      <c r="A10" s="21" t="inlineStr">
        <is>
          <t>Residual score at decision</t>
        </is>
      </c>
      <c r="B10" s="22" t="n">
        <v>2</v>
      </c>
    </row>
    <row r="11" ht="30" customHeight="1" s="11">
      <c r="A11" s="21" t="inlineStr">
        <is>
          <t>Residual band</t>
        </is>
      </c>
      <c r="B11" s="22" t="inlineStr">
        <is>
          <t>Low</t>
        </is>
      </c>
    </row>
    <row r="12" ht="66" customHeight="1" s="11">
      <c r="A12" s="21" t="inlineStr">
        <is>
          <t>Business rationale</t>
        </is>
      </c>
      <c r="B12" s="22" t="inlineStr">
        <is>
          <t>The directory is public by design. Immediate rate-limiting work would displace higher-priority PHI and access-control remediation; expected scraping exposure does not justify that cost. Q3 implementation remains in the backlog.</t>
        </is>
      </c>
    </row>
    <row r="13" ht="30" customHeight="1" s="11">
      <c r="A13" s="21" t="inlineStr">
        <is>
          <t>Risk owner</t>
        </is>
      </c>
      <c r="B13" s="22" t="inlineStr">
        <is>
          <t>API Platform Lead</t>
        </is>
      </c>
    </row>
    <row r="14" ht="66" customHeight="1" s="11">
      <c r="A14" s="21" t="inlineStr">
        <is>
          <t>Conditions</t>
        </is>
      </c>
      <c r="B14" s="22" t="inlineStr">
        <is>
          <t>Review gateway abuse logs monthly; escalate service degradation, unexpected nonpublic data exposure, or a material change in API usage to the COO and CISO. Acceptance must be reconsidered if any condition fails.</t>
        </is>
      </c>
    </row>
    <row r="15" ht="30" customHeight="1" s="11">
      <c r="A15" s="21" t="inlineStr">
        <is>
          <t>Scheduled review date</t>
        </is>
      </c>
      <c r="B15" s="24" t="n">
        <v>46227</v>
      </c>
    </row>
    <row r="16" ht="30" customHeight="1" s="11">
      <c r="A16" s="21" t="inlineStr">
        <is>
          <t>Acceptance expires</t>
        </is>
      </c>
      <c r="B16" s="24" t="n">
        <v>46387</v>
      </c>
    </row>
    <row r="17" ht="40" customHeight="1" s="11">
      <c r="A17" s="21" t="inlineStr">
        <is>
          <t>Review evidence</t>
        </is>
      </c>
      <c r="B17" s="22" t="inlineStr">
        <is>
          <t>This record documents the March decision only. A completed July review or renewal is not supplied.</t>
        </is>
      </c>
    </row>
    <row r="18" ht="50" customHeight="1" s="11">
      <c r="A18" s="21" t="inlineStr">
        <is>
          <t>Closure evidence</t>
        </is>
      </c>
      <c r="B18" s="22" t="inlineStr">
        <is>
          <t>Rate-limiting configuration and validation of expected API behavior are required to close the remediation action. Acceptance alone does not close R-014.</t>
        </is>
      </c>
    </row>
  </sheetData>
  <mergeCells count="1">
    <mergeCell ref="A1:B1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dcterms="http://purl.org/dc/terms/" xmlns:xsi="http://www.w3.org/2001/XMLSchema-instance" xmlns:cp="http://schemas.openxmlformats.org/package/2006/metadata/core-properties">
  <dc:creator xmlns:dc="http://purl.org/dc/elements/1.1/">Chris Morrissey</dc:creator>
  <dc:language xmlns:dc="http://purl.org/dc/elements/1.1/">en-US</dc:language>
  <dcterms:created xsi:type="dcterms:W3CDTF">2026-01-08T13:14:00Z</dcterms:created>
  <dcterms:modified xsi:type="dcterms:W3CDTF">2026-03-24T20:52:00Z</dcterms:modified>
  <cp:revision>0</cp:revision>
  <cp:lastModifiedBy>Chris Morrissey</cp:lastModifiedBy>
</cp:coreProperties>
</file>