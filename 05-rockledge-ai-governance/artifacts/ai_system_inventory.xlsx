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System Inventory" sheetId="1" state="visible" r:id="rId3"/>
    <sheet name="Summary" sheetId="2" state="visible" r:id="rId4"/>
    <sheet name="Classification Method" sheetId="3" state="visible" r:id="rId5"/>
  </sheets>
  <definedNames>
    <definedName function="false" hidden="false" localSheetId="0" name="_xlnm.Print_Area" vbProcedure="false">'AI System Inventory'!$A$1:$U$13</definedName>
    <definedName function="false" hidden="false" localSheetId="2" name="_xlnm.Print_Area" vbProcedure="false">'Classification Method'!$A$1:$B$9</definedName>
    <definedName function="false" hidden="false" localSheetId="1" name="_xlnm.Print_Area" vbProcedure="false">Summary!$A$1:$B$19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<sst xmlns="http://schemas.openxmlformats.org/spreadsheetml/2006/main" count="236" uniqueCount="179">
  <si>
    <t xml:space="preserve">ROCKLEDGE BENEFITS ADMINISTRATORS — AI SYSTEM INVENTORY &amp; RISK CLASSIFICATION</t>
  </si>
  <si>
    <t xml:space="preserve">Sample GRC portfolio artifact | Fictional company | Framework basis: NIST AI RMF 1.0 (Map), EU AI Act as amended by Regulation (EU) 2026/1744 (Digital Omnibus on AI, in force 27 July 2026), ISO/IEC 42001 A.4 | Inventory date: 2026-08-05</t>
  </si>
  <si>
    <t xml:space="preserve">AI ID</t>
  </si>
  <si>
    <t xml:space="preserve">System Name</t>
  </si>
  <si>
    <t xml:space="preserve">Business Owner</t>
  </si>
  <si>
    <t xml:space="preserve">Use Case</t>
  </si>
  <si>
    <t xml:space="preserve">Deployment Status</t>
  </si>
  <si>
    <t xml:space="preserve">AI Type</t>
  </si>
  <si>
    <t xml:space="preserve">Provider / Model</t>
  </si>
  <si>
    <t xml:space="preserve">Build vs Buy</t>
  </si>
  <si>
    <t xml:space="preserve">Data Inputs</t>
  </si>
  <si>
    <t xml:space="preserve">Personal Data?</t>
  </si>
  <si>
    <t xml:space="preserve">Decision Impact</t>
  </si>
  <si>
    <t xml:space="preserve">Human Oversight Mode</t>
  </si>
  <si>
    <t xml:space="preserve">EU Nexus?</t>
  </si>
  <si>
    <t xml:space="preserve">EU AI Act Tier (legal)</t>
  </si>
  <si>
    <t xml:space="preserve">Applicable Deadline</t>
  </si>
  <si>
    <t xml:space="preserve">EU Act Rationale</t>
  </si>
  <si>
    <t xml:space="preserve">Organizational Risk Flag</t>
  </si>
  <si>
    <t xml:space="preserve">NIST AI RMF Profile Applied</t>
  </si>
  <si>
    <t xml:space="preserve">Inherent Risk (1-5)</t>
  </si>
  <si>
    <t xml:space="preserve">Governance Status</t>
  </si>
  <si>
    <t xml:space="preserve">Next Action</t>
  </si>
  <si>
    <t xml:space="preserve">AI-001</t>
  </si>
  <si>
    <t xml:space="preserve">ClaimDesk Adjudication Assist</t>
  </si>
  <si>
    <t xml:space="preserve">VP Claims Operations</t>
  </si>
  <si>
    <t xml:space="preserve">Recommends approve/deny/pend on benefits claims; adjuster confirms</t>
  </si>
  <si>
    <t xml:space="preserve">Production</t>
  </si>
  <si>
    <t xml:space="preserve">Predictive ML (gradient boosting)</t>
  </si>
  <si>
    <t xml:space="preserve">In-house model on Azure ML</t>
  </si>
  <si>
    <t xml:space="preserve">Build</t>
  </si>
  <si>
    <t xml:space="preserve">Claim history, plan rules, provider codes, member demographics</t>
  </si>
  <si>
    <t xml:space="preserve">Yes</t>
  </si>
  <si>
    <t xml:space="preserve">Determines member benefit outcomes</t>
  </si>
  <si>
    <t xml:space="preserve">Human-in-the-loop (adjuster confirms each)</t>
  </si>
  <si>
    <t xml:space="preserve">Yes — 3 EU-based client plans</t>
  </si>
  <si>
    <t xml:space="preserve">High-Risk (contested)</t>
  </si>
  <si>
    <t xml:space="preserve">2 Dec 2027 if confirmed</t>
  </si>
  <si>
    <t xml:space="preserve">CONTESTED. Annex III(5)(a) covers essential PUBLIC assistance benefits by public authorities — Rockledge is a private administrator. Annex III(5)(c) covers risk assessment and pricing for life/health insurance — this is claims adjudication, not pricing. Neither category fits cleanly. Treated as high-risk pending counsel determination; see Risk AIR-004 for both classification outcomes.</t>
  </si>
  <si>
    <t xml:space="preserve">—</t>
  </si>
  <si>
    <t xml:space="preserve">AI RMF Core + fairness testing profile</t>
  </si>
  <si>
    <t xml:space="preserve">Ungoverned</t>
  </si>
  <si>
    <t xml:space="preserve">Priority 1: obtain counsel determination on Annex III applicability; proceed with fairness testing regardless (see Decision Memo)</t>
  </si>
  <si>
    <t xml:space="preserve">AI-002</t>
  </si>
  <si>
    <t xml:space="preserve">Member Support Chatbot</t>
  </si>
  <si>
    <t xml:space="preserve">Director of Member Services</t>
  </si>
  <si>
    <t xml:space="preserve">Answers plan questions, routes to agents; GenAI over plan documents</t>
  </si>
  <si>
    <t xml:space="preserve">Generative (LLM, RAG)</t>
  </si>
  <si>
    <t xml:space="preserve">Azure OpenAI GPT-4o over indexed plan docs</t>
  </si>
  <si>
    <t xml:space="preserve">Buy + configure</t>
  </si>
  <si>
    <t xml:space="preserve">Member questions, plan documents, limited account context</t>
  </si>
  <si>
    <t xml:space="preserve">Informational; can misdirect on coverage</t>
  </si>
  <si>
    <t xml:space="preserve">Human-on-the-loop (escalation available)</t>
  </si>
  <si>
    <t xml:space="preserve">Limited-Risk (transparency)</t>
  </si>
  <si>
    <t xml:space="preserve">2 Aug 2026 — NOT DEFERRED</t>
  </si>
  <si>
    <t xml:space="preserve">Art. 50 transparency duties apply to systems interacting with natural persons. The Digital Omnibus deferred Annex III high-risk deadlines but expressly did NOT defer Art. 50. This is the most time-critical item in the inventory.</t>
  </si>
  <si>
    <t xml:space="preserve">AI RMF Core + Generative AI Profile (AI 600-1)</t>
  </si>
  <si>
    <t xml:space="preserve">Partially governed</t>
  </si>
  <si>
    <t xml:space="preserve">Deploy AI disclosure immediately (deadline passed); implement confabulation testing; log and sample coverage answers</t>
  </si>
  <si>
    <t xml:space="preserve">AI-003</t>
  </si>
  <si>
    <t xml:space="preserve">Fraud Pattern Detector</t>
  </si>
  <si>
    <t xml:space="preserve">Director of SIU</t>
  </si>
  <si>
    <t xml:space="preserve">Flags claims for special investigation review</t>
  </si>
  <si>
    <t xml:space="preserve">Predictive ML (anomaly)</t>
  </si>
  <si>
    <t xml:space="preserve">Third-party SaaS (VigilAI)</t>
  </si>
  <si>
    <t xml:space="preserve">Buy</t>
  </si>
  <si>
    <t xml:space="preserve">Claims data, provider billing patterns</t>
  </si>
  <si>
    <t xml:space="preserve">Triggers investigation; may delay payment</t>
  </si>
  <si>
    <t xml:space="preserve">Human-on-the-loop</t>
  </si>
  <si>
    <t xml:space="preserve">No</t>
  </si>
  <si>
    <t xml:space="preserve">Out of EU scope</t>
  </si>
  <si>
    <t xml:space="preserve">N/A</t>
  </si>
  <si>
    <t xml:space="preserve">No EU nexus. If scope expands to EU plans, re-assess against Annex III.</t>
  </si>
  <si>
    <t xml:space="preserve">AI RMF Core</t>
  </si>
  <si>
    <t xml:space="preserve">Vendor AI questionnaire; document oversight; re-assess on any EU expansion</t>
  </si>
  <si>
    <t xml:space="preserve">AI-004</t>
  </si>
  <si>
    <t xml:space="preserve">Recruiting Resume Screener</t>
  </si>
  <si>
    <t xml:space="preserve">VP People</t>
  </si>
  <si>
    <t xml:space="preserve">Ranks applicants for benefits-analyst roles</t>
  </si>
  <si>
    <t xml:space="preserve">Pilot</t>
  </si>
  <si>
    <t xml:space="preserve">Predictive ML (NLP scoring)</t>
  </si>
  <si>
    <t xml:space="preserve">Third-party ATS module</t>
  </si>
  <si>
    <t xml:space="preserve">Resumes, application forms</t>
  </si>
  <si>
    <t xml:space="preserve">Affects hiring shortlist</t>
  </si>
  <si>
    <t xml:space="preserve">Human-in-the-loop (recruiter reviews top 20)</t>
  </si>
  <si>
    <t xml:space="preserve">Yes — EU-based recruiting for Dublin office</t>
  </si>
  <si>
    <t xml:space="preserve">High-Risk</t>
  </si>
  <si>
    <t xml:space="preserve">2 Dec 2027</t>
  </si>
  <si>
    <t xml:space="preserve">CLEAR. Annex III(4)(a) — AI intended for recruitment or selection, in particular to filter applications and evaluate candidates. Unambiguous. Also NYC Local Law 144 exposure for NYC roles, which has no EU deadline dependency.</t>
  </si>
  <si>
    <t xml:space="preserve">Priority 1: pause pilot pending bias audit and vendor transparency documentation (see Decision Memo)</t>
  </si>
  <si>
    <t xml:space="preserve">AI-005</t>
  </si>
  <si>
    <t xml:space="preserve">Document Intake OCR</t>
  </si>
  <si>
    <t xml:space="preserve">Director of Operations</t>
  </si>
  <si>
    <t xml:space="preserve">Extracts fields from submitted forms</t>
  </si>
  <si>
    <t xml:space="preserve">Computer vision / OCR</t>
  </si>
  <si>
    <t xml:space="preserve">Azure Document Intelligence</t>
  </si>
  <si>
    <t xml:space="preserve">Scanned forms, member IDs</t>
  </si>
  <si>
    <t xml:space="preserve">Data entry accuracy</t>
  </si>
  <si>
    <t xml:space="preserve">Human-on-the-loop (exception queue)</t>
  </si>
  <si>
    <t xml:space="preserve">Minimal</t>
  </si>
  <si>
    <t xml:space="preserve">Data extraction with human exception handling; no consequential decision.</t>
  </si>
  <si>
    <t xml:space="preserve">AI RMF Core (light)</t>
  </si>
  <si>
    <t xml:space="preserve">Governed</t>
  </si>
  <si>
    <t xml:space="preserve">Annual accuracy validation; keep in inventory</t>
  </si>
  <si>
    <t xml:space="preserve">AI-006</t>
  </si>
  <si>
    <t xml:space="preserve">Marketing Content Generator</t>
  </si>
  <si>
    <t xml:space="preserve">Director of Marketing</t>
  </si>
  <si>
    <t xml:space="preserve">Drafts campaign copy and member communications</t>
  </si>
  <si>
    <t xml:space="preserve">Generative (LLM)</t>
  </si>
  <si>
    <t xml:space="preserve">ChatGPT Enterprise</t>
  </si>
  <si>
    <t xml:space="preserve">Marketing briefs, brand guidelines</t>
  </si>
  <si>
    <t xml:space="preserve">Low; human edits all output</t>
  </si>
  <si>
    <t xml:space="preserve">Human-in-the-loop</t>
  </si>
  <si>
    <t xml:space="preserve">No personal data; all output human-reviewed before publication. Note Art. 50(4) synthetic-content marking may apply if AI-generated imagery is published.</t>
  </si>
  <si>
    <t xml:space="preserve">Generative AI Profile (light)</t>
  </si>
  <si>
    <t xml:space="preserve">Acceptable use attestation; monitor for synthetic-media marking obligations</t>
  </si>
  <si>
    <t xml:space="preserve">AI-007</t>
  </si>
  <si>
    <t xml:space="preserve">Analyst Copilot (M365)</t>
  </si>
  <si>
    <t xml:space="preserve">CIO</t>
  </si>
  <si>
    <t xml:space="preserve">Summarizes documents, drafts emails across the workforce</t>
  </si>
  <si>
    <t xml:space="preserve">Microsoft 365 Copilot</t>
  </si>
  <si>
    <t xml:space="preserve">Enterprise email, files, chats — potentially PHI/PII</t>
  </si>
  <si>
    <t xml:space="preserve">Productivity; data exposure risk</t>
  </si>
  <si>
    <t xml:space="preserve">Not a high-risk use case under the Act. The exposure here is data governance, not AI Act classification — tracked separately in the Organizational Risk Flag column.</t>
  </si>
  <si>
    <t xml:space="preserve">HIGH — broad access to PHI repositories creates HIPAA exposure independent of AI Act status</t>
  </si>
  <si>
    <t xml:space="preserve">Generative AI Profile — data privacy &amp; information integrity</t>
  </si>
  <si>
    <t xml:space="preserve">Restrict Copilot indexing of PHI repositories; DLP for AI-generated content; usage attestation</t>
  </si>
  <si>
    <t xml:space="preserve">AI-008</t>
  </si>
  <si>
    <t xml:space="preserve">Actuarial Forecast Model</t>
  </si>
  <si>
    <t xml:space="preserve">Chief Actuary</t>
  </si>
  <si>
    <t xml:space="preserve">Projects claims cost for pricing</t>
  </si>
  <si>
    <t xml:space="preserve">Statistical / ML hybrid</t>
  </si>
  <si>
    <t xml:space="preserve">In-house (R + Python)</t>
  </si>
  <si>
    <t xml:space="preserve">Historical claims, demographic aggregates</t>
  </si>
  <si>
    <t xml:space="preserve">No (aggregated)</t>
  </si>
  <si>
    <t xml:space="preserve">Pricing decisions; indirect member impact</t>
  </si>
  <si>
    <t xml:space="preserve">Aggregate data, expert-reviewed outputs. NOTE: if this model were applied to individual health-insurance risk assessment or pricing, Annex III(5)(c) would apply. It is not, today.</t>
  </si>
  <si>
    <t xml:space="preserve">AI RMF Core + model risk management</t>
  </si>
  <si>
    <t xml:space="preserve">Annual model validation; re-assess if scope moves to individual pricing</t>
  </si>
  <si>
    <t xml:space="preserve">AI-009</t>
  </si>
  <si>
    <t xml:space="preserve">Shadow AI (governance finding)</t>
  </si>
  <si>
    <t xml:space="preserve">CISO (owner by default)</t>
  </si>
  <si>
    <t xml:space="preserve">Unsanctioned consumer AI tool use with work data</t>
  </si>
  <si>
    <t xml:space="preserve">Not a system — enterprise finding</t>
  </si>
  <si>
    <t xml:space="preserve">Generative (various)</t>
  </si>
  <si>
    <t xml:space="preserve">Consumer ChatGPT, Gemini, Claude free tiers</t>
  </si>
  <si>
    <t xml:space="preserve">Unmanaged</t>
  </si>
  <si>
    <t xml:space="preserve">Unknown; likely includes member data</t>
  </si>
  <si>
    <t xml:space="preserve">Likely</t>
  </si>
  <si>
    <t xml:space="preserve">Data leakage; policy violation</t>
  </si>
  <si>
    <t xml:space="preserve">None</t>
  </si>
  <si>
    <t xml:space="preserve">Unknown</t>
  </si>
  <si>
    <t xml:space="preserve">N/A — governance finding</t>
  </si>
  <si>
    <t xml:space="preserve">Not an AI system and therefore not classifiable under the Act. Recorded here because an inventory that omits known unmanaged use is not an inventory. Discovered via CASB telemetry: 214 unique users hitting consumer AI endpoints in 30 days.</t>
  </si>
  <si>
    <t xml:space="preserve">CRITICAL — uncontrolled PHI egress to third-party models with no DPA or contractual protection</t>
  </si>
  <si>
    <t xml:space="preserve">AI RMF Govern function</t>
  </si>
  <si>
    <t xml:space="preserve">Acceptable use policy; CASB blocking; sanctioned alternative (AI-007); awareness campaign</t>
  </si>
  <si>
    <t xml:space="preserve">INVENTORY SUMMARY</t>
  </si>
  <si>
    <t xml:space="preserve">Eight identified AI systems plus one enterprise shadow-AI governance finding (AI-009). Counts total 9 rows; AI-009 is not a discrete system and is not classifiable under the AI Act.</t>
  </si>
  <si>
    <t xml:space="preserve">EU AI Act Tier</t>
  </si>
  <si>
    <t xml:space="preserve">Count</t>
  </si>
  <si>
    <t xml:space="preserve">Entries flagged for personal data</t>
  </si>
  <si>
    <t xml:space="preserve">Systems with EU nexus</t>
  </si>
  <si>
    <t xml:space="preserve">High-Risk (incl. contested) AND Ungoverned</t>
  </si>
  <si>
    <t xml:space="preserve">HOW SYSTEMS WERE CLASSIFIED</t>
  </si>
  <si>
    <t xml:space="preserve">Why an inventory first</t>
  </si>
  <si>
    <t xml:space="preserve">You cannot govern what you have not enumerated. Every AI governance framework — NIST AI RMF (Map 1), ISO/IEC 42001 (A.4 resources), EU AI Act (registration obligations) — presumes an inventory exists. Most organizations do not have one; discovery via procurement records, cloud consoles, and CASB telemetry is the first real task.</t>
  </si>
  <si>
    <t xml:space="preserve">Discovery sources used</t>
  </si>
  <si>
    <t xml:space="preserve">(1) Procurement and SaaS spend records, (2) Azure/M365 admin consoles, (3) CASB / web proxy telemetry for AI endpoints, (4) Interviews with department heads, (5) Engineering repository scan for ML dependencies. AI-009 (shadow AI) surfaced only through source 3.</t>
  </si>
  <si>
    <t xml:space="preserve">EU AI Act tiers</t>
  </si>
  <si>
    <t xml:space="preserve">Unacceptable (prohibited) → High-Risk (Annex III categories incl. employment, essential private services, credit) → Limited (transparency duties, e.g. chatbots) → Minimal. Classification depends on use case and context, not on the technology. The same LLM is Minimal in marketing and Limited in a member-facing chatbot.</t>
  </si>
  <si>
    <t xml:space="preserve">Human oversight modes</t>
  </si>
  <si>
    <t xml:space="preserve">In-the-loop = a person confirms each output before it takes effect. On-the-loop = system acts, person monitors and can intervene. Out-of-the-loop = fully automated. Under the EU AI Act, human oversight (Art. 14) is a required control for high-risk systems, not a classification-reducing factor by itself.</t>
  </si>
  <si>
    <t xml:space="preserve">Inherent risk (1-5)</t>
  </si>
  <si>
    <t xml:space="preserve">Composite of decision impact, personal data sensitivity, autonomy, and population affected. Ordinal, for prioritization only — see the Risk Assessment artifact for the fuller treatment.</t>
  </si>
  <si>
    <t xml:space="preserve">Timeline caveat</t>
  </si>
  <si>
    <t xml:space="preserve">EU AI Act high-risk obligations were originally applicable 2 August 2026. A May 2026 'Digital Omnibus' proposal would defer standalone high-risk systems to 2 December 2027. As of this inventory that deferral is proposed, not adopted. Plans here assume the earlier date until the text is final — planning to the later date and being wrong is the costlier error.</t>
  </si>
  <si>
    <t xml:space="preserve">What this is not</t>
  </si>
  <si>
    <t xml:space="preserve">This is a portfolio artifact for a fictional company. It is not legal advice on EU AI Act applicability. Real classification of a high-risk system requires counsel and, for many Annex III categories, a documented conformity assessment.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</si>
</sst>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06666"/>
        </patternFill>
      </fill>
    </dxf>
    <dxf>
      <font>
        <name val="Arial"/>
        <charset val="1"/>
        <family val="0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0AD47"/>
        </patternFill>
      </fill>
    </dxf>
    <dxf>
      <font>
        <name val="Arial"/>
        <charset val="1"/>
        <family val="0"/>
        <color rgb="FF000000"/>
      </font>
      <fill>
        <patternFill>
          <bgColor rgb="FFB7B7B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80808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9" min="9" style="0" width="30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0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36"/>
    <col collapsed="false" customWidth="true" hidden="false" outlineLevel="0" max="17" min="17" style="0" width="22"/>
    <col collapsed="false" customWidth="true" hidden="false" outlineLevel="0" max="18" min="18" style="0" width="18"/>
    <col collapsed="false" customWidth="true" hidden="false" outlineLevel="0" max="19" min="19" style="0" width="10"/>
    <col collapsed="false" customWidth="true" hidden="false" outlineLevel="0" max="20" min="20" style="0" width="18"/>
    <col collapsed="false" customWidth="true" hidden="false" outlineLevel="0" max="21" min="21" style="0" width="3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113.4" hidden="false" customHeight="false" outlineLevel="0" collapsed="false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33</v>
      </c>
      <c r="L5" s="4" t="s">
        <v>34</v>
      </c>
      <c r="M5" s="4" t="s">
        <v>35</v>
      </c>
      <c r="N5" s="4" t="s">
        <v>36</v>
      </c>
      <c r="O5" s="4" t="s">
        <v>37</v>
      </c>
      <c r="P5" s="4" t="s">
        <v>38</v>
      </c>
      <c r="Q5" s="4" t="s">
        <v>39</v>
      </c>
      <c r="R5" s="4" t="s">
        <v>40</v>
      </c>
      <c r="S5" s="4" t="n">
        <v>5</v>
      </c>
      <c r="T5" s="4" t="s">
        <v>41</v>
      </c>
      <c r="U5" s="4" t="s">
        <v>42</v>
      </c>
    </row>
    <row r="6" customFormat="false" ht="68.65" hidden="false" customHeight="false" outlineLevel="0" collapsed="false">
      <c r="A6" s="4" t="s">
        <v>43</v>
      </c>
      <c r="B6" s="4" t="s">
        <v>44</v>
      </c>
      <c r="C6" s="4" t="s">
        <v>45</v>
      </c>
      <c r="D6" s="4" t="s">
        <v>46</v>
      </c>
      <c r="E6" s="4" t="s">
        <v>27</v>
      </c>
      <c r="F6" s="4" t="s">
        <v>47</v>
      </c>
      <c r="G6" s="4" t="s">
        <v>48</v>
      </c>
      <c r="H6" s="4" t="s">
        <v>49</v>
      </c>
      <c r="I6" s="4" t="s">
        <v>50</v>
      </c>
      <c r="J6" s="4" t="s">
        <v>32</v>
      </c>
      <c r="K6" s="4" t="s">
        <v>51</v>
      </c>
      <c r="L6" s="4" t="s">
        <v>52</v>
      </c>
      <c r="M6" s="4" t="s">
        <v>32</v>
      </c>
      <c r="N6" s="4" t="s">
        <v>53</v>
      </c>
      <c r="O6" s="4" t="s">
        <v>54</v>
      </c>
      <c r="P6" s="4" t="s">
        <v>55</v>
      </c>
      <c r="Q6" s="4" t="s">
        <v>39</v>
      </c>
      <c r="R6" s="4" t="s">
        <v>56</v>
      </c>
      <c r="S6" s="4" t="n">
        <v>4</v>
      </c>
      <c r="T6" s="4" t="s">
        <v>57</v>
      </c>
      <c r="U6" s="4" t="s">
        <v>58</v>
      </c>
    </row>
    <row r="7" customFormat="false" ht="35.05" hidden="false" customHeight="false" outlineLevel="0" collapsed="false">
      <c r="A7" s="4" t="s">
        <v>59</v>
      </c>
      <c r="B7" s="4" t="s">
        <v>60</v>
      </c>
      <c r="C7" s="4" t="s">
        <v>61</v>
      </c>
      <c r="D7" s="4" t="s">
        <v>62</v>
      </c>
      <c r="E7" s="4" t="s">
        <v>27</v>
      </c>
      <c r="F7" s="4" t="s">
        <v>63</v>
      </c>
      <c r="G7" s="4" t="s">
        <v>64</v>
      </c>
      <c r="H7" s="4" t="s">
        <v>65</v>
      </c>
      <c r="I7" s="4" t="s">
        <v>66</v>
      </c>
      <c r="J7" s="4" t="s">
        <v>32</v>
      </c>
      <c r="K7" s="4" t="s">
        <v>67</v>
      </c>
      <c r="L7" s="4" t="s">
        <v>68</v>
      </c>
      <c r="M7" s="4" t="s">
        <v>69</v>
      </c>
      <c r="N7" s="4" t="s">
        <v>70</v>
      </c>
      <c r="O7" s="4" t="s">
        <v>71</v>
      </c>
      <c r="P7" s="4" t="s">
        <v>72</v>
      </c>
      <c r="Q7" s="4" t="s">
        <v>39</v>
      </c>
      <c r="R7" s="4" t="s">
        <v>73</v>
      </c>
      <c r="S7" s="4" t="n">
        <v>3</v>
      </c>
      <c r="T7" s="4" t="s">
        <v>57</v>
      </c>
      <c r="U7" s="4" t="s">
        <v>74</v>
      </c>
    </row>
    <row r="8" customFormat="false" ht="68.65" hidden="false" customHeight="false" outlineLevel="0" collapsed="false">
      <c r="A8" s="4" t="s">
        <v>75</v>
      </c>
      <c r="B8" s="4" t="s">
        <v>76</v>
      </c>
      <c r="C8" s="4" t="s">
        <v>77</v>
      </c>
      <c r="D8" s="4" t="s">
        <v>78</v>
      </c>
      <c r="E8" s="4" t="s">
        <v>79</v>
      </c>
      <c r="F8" s="4" t="s">
        <v>80</v>
      </c>
      <c r="G8" s="4" t="s">
        <v>81</v>
      </c>
      <c r="H8" s="4" t="s">
        <v>65</v>
      </c>
      <c r="I8" s="4" t="s">
        <v>82</v>
      </c>
      <c r="J8" s="4" t="s">
        <v>32</v>
      </c>
      <c r="K8" s="4" t="s">
        <v>83</v>
      </c>
      <c r="L8" s="4" t="s">
        <v>84</v>
      </c>
      <c r="M8" s="4" t="s">
        <v>85</v>
      </c>
      <c r="N8" s="4" t="s">
        <v>86</v>
      </c>
      <c r="O8" s="4" t="s">
        <v>87</v>
      </c>
      <c r="P8" s="4" t="s">
        <v>88</v>
      </c>
      <c r="Q8" s="4" t="s">
        <v>39</v>
      </c>
      <c r="R8" s="4" t="s">
        <v>40</v>
      </c>
      <c r="S8" s="4" t="n">
        <v>5</v>
      </c>
      <c r="T8" s="4" t="s">
        <v>41</v>
      </c>
      <c r="U8" s="4" t="s">
        <v>89</v>
      </c>
    </row>
    <row r="9" customFormat="false" ht="23.85" hidden="false" customHeight="false" outlineLevel="0" collapsed="false">
      <c r="A9" s="4" t="s">
        <v>90</v>
      </c>
      <c r="B9" s="4" t="s">
        <v>91</v>
      </c>
      <c r="C9" s="4" t="s">
        <v>92</v>
      </c>
      <c r="D9" s="4" t="s">
        <v>93</v>
      </c>
      <c r="E9" s="4" t="s">
        <v>27</v>
      </c>
      <c r="F9" s="4" t="s">
        <v>94</v>
      </c>
      <c r="G9" s="4" t="s">
        <v>95</v>
      </c>
      <c r="H9" s="4" t="s">
        <v>65</v>
      </c>
      <c r="I9" s="4" t="s">
        <v>96</v>
      </c>
      <c r="J9" s="4" t="s">
        <v>32</v>
      </c>
      <c r="K9" s="4" t="s">
        <v>97</v>
      </c>
      <c r="L9" s="4" t="s">
        <v>98</v>
      </c>
      <c r="M9" s="4" t="s">
        <v>32</v>
      </c>
      <c r="N9" s="4" t="s">
        <v>99</v>
      </c>
      <c r="O9" s="4" t="s">
        <v>71</v>
      </c>
      <c r="P9" s="4" t="s">
        <v>100</v>
      </c>
      <c r="Q9" s="4" t="s">
        <v>39</v>
      </c>
      <c r="R9" s="4" t="s">
        <v>101</v>
      </c>
      <c r="S9" s="4" t="n">
        <v>2</v>
      </c>
      <c r="T9" s="4" t="s">
        <v>102</v>
      </c>
      <c r="U9" s="4" t="s">
        <v>103</v>
      </c>
    </row>
    <row r="10" customFormat="false" ht="46.25" hidden="false" customHeight="false" outlineLevel="0" collapsed="false">
      <c r="A10" s="4" t="s">
        <v>104</v>
      </c>
      <c r="B10" s="4" t="s">
        <v>105</v>
      </c>
      <c r="C10" s="4" t="s">
        <v>106</v>
      </c>
      <c r="D10" s="4" t="s">
        <v>107</v>
      </c>
      <c r="E10" s="4" t="s">
        <v>27</v>
      </c>
      <c r="F10" s="4" t="s">
        <v>108</v>
      </c>
      <c r="G10" s="4" t="s">
        <v>109</v>
      </c>
      <c r="H10" s="4" t="s">
        <v>65</v>
      </c>
      <c r="I10" s="4" t="s">
        <v>110</v>
      </c>
      <c r="J10" s="4" t="s">
        <v>69</v>
      </c>
      <c r="K10" s="4" t="s">
        <v>111</v>
      </c>
      <c r="L10" s="4" t="s">
        <v>112</v>
      </c>
      <c r="M10" s="4" t="s">
        <v>69</v>
      </c>
      <c r="N10" s="4" t="s">
        <v>99</v>
      </c>
      <c r="O10" s="4" t="s">
        <v>71</v>
      </c>
      <c r="P10" s="4" t="s">
        <v>113</v>
      </c>
      <c r="Q10" s="4" t="s">
        <v>39</v>
      </c>
      <c r="R10" s="4" t="s">
        <v>114</v>
      </c>
      <c r="S10" s="4" t="n">
        <v>2</v>
      </c>
      <c r="T10" s="4" t="s">
        <v>102</v>
      </c>
      <c r="U10" s="4" t="s">
        <v>115</v>
      </c>
    </row>
    <row r="11" customFormat="false" ht="57.45" hidden="false" customHeight="false" outlineLevel="0" collapsed="false">
      <c r="A11" s="4" t="s">
        <v>116</v>
      </c>
      <c r="B11" s="4" t="s">
        <v>117</v>
      </c>
      <c r="C11" s="4" t="s">
        <v>118</v>
      </c>
      <c r="D11" s="4" t="s">
        <v>119</v>
      </c>
      <c r="E11" s="4" t="s">
        <v>27</v>
      </c>
      <c r="F11" s="4" t="s">
        <v>108</v>
      </c>
      <c r="G11" s="4" t="s">
        <v>120</v>
      </c>
      <c r="H11" s="4" t="s">
        <v>65</v>
      </c>
      <c r="I11" s="4" t="s">
        <v>121</v>
      </c>
      <c r="J11" s="4" t="s">
        <v>32</v>
      </c>
      <c r="K11" s="4" t="s">
        <v>122</v>
      </c>
      <c r="L11" s="4" t="s">
        <v>112</v>
      </c>
      <c r="M11" s="4" t="s">
        <v>32</v>
      </c>
      <c r="N11" s="4" t="s">
        <v>99</v>
      </c>
      <c r="O11" s="4" t="s">
        <v>71</v>
      </c>
      <c r="P11" s="4" t="s">
        <v>123</v>
      </c>
      <c r="Q11" s="4" t="s">
        <v>124</v>
      </c>
      <c r="R11" s="4" t="s">
        <v>125</v>
      </c>
      <c r="S11" s="4" t="n">
        <v>3</v>
      </c>
      <c r="T11" s="4" t="s">
        <v>57</v>
      </c>
      <c r="U11" s="4" t="s">
        <v>126</v>
      </c>
    </row>
    <row r="12" customFormat="false" ht="57.45" hidden="false" customHeight="false" outlineLevel="0" collapsed="false">
      <c r="A12" s="4" t="s">
        <v>127</v>
      </c>
      <c r="B12" s="4" t="s">
        <v>128</v>
      </c>
      <c r="C12" s="4" t="s">
        <v>129</v>
      </c>
      <c r="D12" s="4" t="s">
        <v>130</v>
      </c>
      <c r="E12" s="4" t="s">
        <v>27</v>
      </c>
      <c r="F12" s="4" t="s">
        <v>131</v>
      </c>
      <c r="G12" s="4" t="s">
        <v>132</v>
      </c>
      <c r="H12" s="4" t="s">
        <v>30</v>
      </c>
      <c r="I12" s="4" t="s">
        <v>133</v>
      </c>
      <c r="J12" s="4" t="s">
        <v>134</v>
      </c>
      <c r="K12" s="4" t="s">
        <v>135</v>
      </c>
      <c r="L12" s="4" t="s">
        <v>112</v>
      </c>
      <c r="M12" s="4" t="s">
        <v>69</v>
      </c>
      <c r="N12" s="4" t="s">
        <v>99</v>
      </c>
      <c r="O12" s="4" t="s">
        <v>71</v>
      </c>
      <c r="P12" s="4" t="s">
        <v>136</v>
      </c>
      <c r="Q12" s="4" t="s">
        <v>39</v>
      </c>
      <c r="R12" s="4" t="s">
        <v>137</v>
      </c>
      <c r="S12" s="4" t="n">
        <v>3</v>
      </c>
      <c r="T12" s="4" t="s">
        <v>102</v>
      </c>
      <c r="U12" s="4" t="s">
        <v>138</v>
      </c>
    </row>
    <row r="13" customFormat="false" ht="79.85" hidden="false" customHeight="false" outlineLevel="0" collapsed="false">
      <c r="A13" s="4" t="s">
        <v>139</v>
      </c>
      <c r="B13" s="4" t="s">
        <v>140</v>
      </c>
      <c r="C13" s="4" t="s">
        <v>141</v>
      </c>
      <c r="D13" s="4" t="s">
        <v>142</v>
      </c>
      <c r="E13" s="4" t="s">
        <v>143</v>
      </c>
      <c r="F13" s="4" t="s">
        <v>144</v>
      </c>
      <c r="G13" s="4" t="s">
        <v>145</v>
      </c>
      <c r="H13" s="4" t="s">
        <v>146</v>
      </c>
      <c r="I13" s="4" t="s">
        <v>147</v>
      </c>
      <c r="J13" s="4" t="s">
        <v>148</v>
      </c>
      <c r="K13" s="4" t="s">
        <v>149</v>
      </c>
      <c r="L13" s="4" t="s">
        <v>150</v>
      </c>
      <c r="M13" s="4" t="s">
        <v>151</v>
      </c>
      <c r="N13" s="4" t="s">
        <v>152</v>
      </c>
      <c r="O13" s="4" t="s">
        <v>71</v>
      </c>
      <c r="P13" s="4" t="s">
        <v>153</v>
      </c>
      <c r="Q13" s="4" t="s">
        <v>154</v>
      </c>
      <c r="R13" s="4" t="s">
        <v>155</v>
      </c>
      <c r="S13" s="4" t="n">
        <v>4</v>
      </c>
      <c r="T13" s="4" t="s">
        <v>41</v>
      </c>
      <c r="U13" s="4" t="s">
        <v>156</v>
      </c>
    </row>
  </sheetData>
  <mergeCells count="2">
    <mergeCell ref="A1:U1"/>
    <mergeCell ref="A2:U2"/>
  </mergeCells>
  <conditionalFormatting sqref="N5:N13">
    <cfRule type="expression" priority="2" aboveAverage="0" equalAverage="0" bottom="0" percent="0" rank="0" text="" dxfId="0">
      <formula>EXACT(N5,"High-Risk")</formula>
    </cfRule>
    <cfRule type="expression" priority="3" aboveAverage="0" equalAverage="0" bottom="0" percent="0" rank="0" text="" dxfId="1">
      <formula>EXACT(N5,"High-Risk (contested)")</formula>
    </cfRule>
    <cfRule type="expression" priority="4" aboveAverage="0" equalAverage="0" bottom="0" percent="0" rank="0" text="" dxfId="2">
      <formula>EXACT(N5,"Limited-Risk (transparency)")</formula>
    </cfRule>
    <cfRule type="expression" priority="5" aboveAverage="0" equalAverage="0" bottom="0" percent="0" rank="0" text="" dxfId="3">
      <formula>EXACT(N5,"Minimal")</formula>
    </cfRule>
    <cfRule type="expression" priority="6" aboveAverage="0" equalAverage="0" bottom="0" percent="0" rank="0" text="" dxfId="4">
      <formula>EXACT(N5,"Out of EU scope")</formula>
    </cfRule>
    <cfRule type="expression" priority="7" aboveAverage="0" equalAverage="0" bottom="0" percent="0" rank="0" text="" dxfId="5">
      <formula>EXACT(N5,"N/A — governance finding")</formula>
    </cfRule>
  </conditionalFormatting>
  <conditionalFormatting sqref="O5:O13">
    <cfRule type="expression" priority="8" aboveAverage="0" equalAverage="0" bottom="0" percent="0" rank="0" text="" dxfId="0">
      <formula>ISNUMBER(SEARCH("NOT DEFERRED",O5))</formula>
    </cfRule>
  </conditionalFormatting>
  <conditionalFormatting sqref="R5:R13">
    <cfRule type="expression" priority="9" aboveAverage="0" equalAverage="0" bottom="0" percent="0" rank="0" text="" dxfId="6">
      <formula>OR(LEFT(R5,4)="HIGH",LEFT(R5,8)="CRITICAL")</formula>
    </cfRule>
  </conditionalFormatting>
  <conditionalFormatting sqref="T5:T13">
    <cfRule type="expression" priority="10" aboveAverage="0" equalAverage="0" bottom="0" percent="0" rank="0" text="" dxfId="0">
      <formula>EXACT(T5,"Ungoverned")</formula>
    </cfRule>
    <cfRule type="expression" priority="11" aboveAverage="0" equalAverage="0" bottom="0" percent="0" rank="0" text="" dxfId="2">
      <formula>EXACT(T5,"Partially governed")</formula>
    </cfRule>
    <cfRule type="expression" priority="12" aboveAverage="0" equalAverage="0" bottom="0" percent="0" rank="0" text="" dxfId="3">
      <formula>EXACT(T5,"Governed")</formula>
    </cfRule>
  </conditionalFormatting>
  <conditionalFormatting sqref="S5:S13">
    <cfRule type="expression" priority="13" aboveAverage="0" equalAverage="0" bottom="0" percent="0" rank="0" text="" dxfId="6">
      <formula>S5&gt;=4</formula>
    </cfRule>
  </conditionalFormatting>
  <dataValidations count="2">
    <dataValidation allowBlank="true" errorStyle="stop" operator="between" showDropDown="false" showErrorMessage="false" showInputMessage="false" sqref="N5:N43" type="list">
      <formula1>"Unacceptable-Risk (prohibited),High-Risk,High-Risk (contested),Limited-Risk (transparency),Minimal,Out of EU scope,N/A — governance finding"</formula1>
      <formula2>0</formula2>
    </dataValidation>
    <dataValidation allowBlank="true" errorStyle="stop" operator="between" showDropDown="false" showErrorMessage="false" showInputMessage="false" sqref="T5:T43" type="list">
      <formula1>"Ungoverned,Partially governed,Governed"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3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</cols>
  <sheetData>
    <row r="1" customFormat="false" ht="19.7" hidden="false" customHeight="false" outlineLevel="0" collapsed="false">
      <c r="A1" s="5" t="s">
        <v>157</v>
      </c>
    </row>
    <row r="2" customFormat="false" ht="15" hidden="false" customHeight="false" outlineLevel="0" collapsed="false">
      <c r="A2" s="6" t="s">
        <v>158</v>
      </c>
    </row>
    <row r="4" customFormat="false" ht="15" hidden="false" customHeight="false" outlineLevel="0" collapsed="false">
      <c r="A4" s="3" t="s">
        <v>159</v>
      </c>
      <c r="B4" s="3" t="s">
        <v>160</v>
      </c>
    </row>
    <row r="5" customFormat="false" ht="15" hidden="false" customHeight="false" outlineLevel="0" collapsed="false">
      <c r="A5" s="4" t="s">
        <v>86</v>
      </c>
      <c r="B5" s="4" t="n">
        <f aca="false">COUNTIF('AI System Inventory'!$N$5:$N$13,A5)</f>
        <v>1</v>
      </c>
    </row>
    <row r="6" customFormat="false" ht="15" hidden="false" customHeight="false" outlineLevel="0" collapsed="false">
      <c r="A6" s="4" t="s">
        <v>36</v>
      </c>
      <c r="B6" s="4" t="n">
        <f aca="false">COUNTIF('AI System Inventory'!$N$5:$N$13,A6)</f>
        <v>1</v>
      </c>
    </row>
    <row r="7" customFormat="false" ht="15" hidden="false" customHeight="false" outlineLevel="0" collapsed="false">
      <c r="A7" s="4" t="s">
        <v>53</v>
      </c>
      <c r="B7" s="4" t="n">
        <f aca="false">COUNTIF('AI System Inventory'!$N$5:$N$13,A7)</f>
        <v>1</v>
      </c>
    </row>
    <row r="8" customFormat="false" ht="15" hidden="false" customHeight="false" outlineLevel="0" collapsed="false">
      <c r="A8" s="4" t="s">
        <v>99</v>
      </c>
      <c r="B8" s="4" t="n">
        <f aca="false">COUNTIF('AI System Inventory'!$N$5:$N$13,A8)</f>
        <v>4</v>
      </c>
    </row>
    <row r="9" customFormat="false" ht="15" hidden="false" customHeight="false" outlineLevel="0" collapsed="false">
      <c r="A9" s="4" t="s">
        <v>70</v>
      </c>
      <c r="B9" s="4" t="n">
        <f aca="false">COUNTIF('AI System Inventory'!$N$5:$N$13,A9)</f>
        <v>1</v>
      </c>
    </row>
    <row r="10" customFormat="false" ht="15" hidden="false" customHeight="false" outlineLevel="0" collapsed="false">
      <c r="A10" s="4" t="s">
        <v>152</v>
      </c>
      <c r="B10" s="4" t="n">
        <f aca="false">COUNTIF('AI System Inventory'!$N$5:$N$13,A10)</f>
        <v>1</v>
      </c>
    </row>
    <row r="12" customFormat="false" ht="15" hidden="false" customHeight="false" outlineLevel="0" collapsed="false">
      <c r="A12" s="3" t="s">
        <v>21</v>
      </c>
      <c r="B12" s="3" t="s">
        <v>160</v>
      </c>
    </row>
    <row r="13" customFormat="false" ht="15" hidden="false" customHeight="false" outlineLevel="0" collapsed="false">
      <c r="A13" s="4" t="s">
        <v>41</v>
      </c>
      <c r="B13" s="4" t="n">
        <f aca="false">COUNTIF('AI System Inventory'!$T$5:$T$13,A13)</f>
        <v>3</v>
      </c>
    </row>
    <row r="14" customFormat="false" ht="15" hidden="false" customHeight="false" outlineLevel="0" collapsed="false">
      <c r="A14" s="4" t="s">
        <v>57</v>
      </c>
      <c r="B14" s="4" t="n">
        <f aca="false">COUNTIF('AI System Inventory'!$T$5:$T$13,A14)</f>
        <v>3</v>
      </c>
    </row>
    <row r="15" customFormat="false" ht="15" hidden="false" customHeight="false" outlineLevel="0" collapsed="false">
      <c r="A15" s="4" t="s">
        <v>102</v>
      </c>
      <c r="B15" s="4" t="n">
        <f aca="false">COUNTIF('AI System Inventory'!$T$5:$T$13,A15)</f>
        <v>3</v>
      </c>
    </row>
    <row r="17" customFormat="false" ht="15" hidden="false" customHeight="false" outlineLevel="0" collapsed="false">
      <c r="A17" s="7" t="s">
        <v>161</v>
      </c>
      <c r="B17" s="8" t="n">
        <f aca="false">COUNTIF('AI System Inventory'!$J$5:$J$13,"Yes")</f>
        <v>6</v>
      </c>
    </row>
    <row r="18" customFormat="false" ht="15" hidden="false" customHeight="false" outlineLevel="0" collapsed="false">
      <c r="A18" s="7" t="s">
        <v>162</v>
      </c>
      <c r="B18" s="8" t="n">
        <f aca="false">COUNTIF('AI System Inventory'!$M$5:$M$13,"Yes*")</f>
        <v>5</v>
      </c>
    </row>
    <row r="19" customFormat="false" ht="15" hidden="false" customHeight="false" outlineLevel="0" collapsed="false">
      <c r="A19" s="9" t="s">
        <v>163</v>
      </c>
      <c r="B19" s="8" t="n">
        <f aca="false">COUNTIFS('AI System Inventory'!$N$5:$N$13,"High-Risk*",'AI System Inventory'!$T$5:$T$13,"Ungoverned")</f>
        <v>2</v>
      </c>
    </row>
  </sheetData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5" t="s">
        <v>164</v>
      </c>
    </row>
    <row r="3" customFormat="false" ht="35.05" hidden="false" customHeight="false" outlineLevel="0" collapsed="false">
      <c r="A3" s="10" t="s">
        <v>165</v>
      </c>
      <c r="B3" s="11" t="s">
        <v>166</v>
      </c>
    </row>
    <row r="4" customFormat="false" ht="35.05" hidden="false" customHeight="false" outlineLevel="0" collapsed="false">
      <c r="A4" s="10" t="s">
        <v>167</v>
      </c>
      <c r="B4" s="11" t="s">
        <v>168</v>
      </c>
    </row>
    <row r="5" customFormat="false" ht="35.05" hidden="false" customHeight="false" outlineLevel="0" collapsed="false">
      <c r="A5" s="10" t="s">
        <v>169</v>
      </c>
      <c r="B5" s="11" t="s">
        <v>170</v>
      </c>
    </row>
    <row r="6" customFormat="false" ht="35.05" hidden="false" customHeight="false" outlineLevel="0" collapsed="false">
      <c r="A6" s="10" t="s">
        <v>171</v>
      </c>
      <c r="B6" s="11" t="s">
        <v>172</v>
      </c>
    </row>
    <row r="7" customFormat="false" ht="23.85" hidden="false" customHeight="false" outlineLevel="0" collapsed="false">
      <c r="A7" s="10" t="s">
        <v>173</v>
      </c>
      <c r="B7" s="11" t="s">
        <v>174</v>
      </c>
    </row>
    <row r="8" customFormat="false" ht="35.05" hidden="false" customHeight="false" outlineLevel="0" collapsed="false">
      <c r="A8" s="10" t="s">
        <v>175</v>
      </c>
      <c r="B8" s="11" t="s">
        <v>176</v>
      </c>
    </row>
    <row r="9" customFormat="false" ht="23.85" hidden="false" customHeight="false" outlineLevel="0" collapsed="false">
      <c r="A9" s="10" t="s">
        <v>177</v>
      </c>
      <c r="B9" s="11" t="s">
        <v>178</v>
      </c>
    </row>
  </sheetData>
  <printOptions headings="false" gridLines="false" gridLinesSet="true" horizontalCentered="false" verticalCentered="false"/>
  <pageMargins left="0.25" right="0.25" top="0.35" bottom="0.3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2026-08-18T19:27:36Z</dcterms:created>
  <dc:creator>openpyxl</dc:creator>
  <dc:description/>
  <dc:language>en-US</dc:language>
  <cp:lastModifiedBy/>
  <dcterms:modified xsi:type="dcterms:W3CDTF">2026-08-18T19:27:36Z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