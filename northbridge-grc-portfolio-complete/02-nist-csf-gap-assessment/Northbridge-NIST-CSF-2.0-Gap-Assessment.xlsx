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d544de38c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f53da1a0244171"/>
    <x:sheet xmlns:r="http://schemas.openxmlformats.org/officeDocument/2006/relationships" name="CSF Assessment" sheetId="2" r:id="R4f359acd300c4e89"/>
    <x:sheet xmlns:r="http://schemas.openxmlformats.org/officeDocument/2006/relationships" name="Roadmap" sheetId="3" r:id="R2b69c46581eb4153"/>
    <x:sheet xmlns:r="http://schemas.openxmlformats.org/officeDocument/2006/relationships" name="References" sheetId="4" r:id="Rc72936f78851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0FE"/>
      </x:patternFill>
    </x:fill>
  </x:fills>
  <x:borders count="16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A3412"/>
      </x:font>
    </x:dxf>
    <x:dxf>
      <x:font>
        <x:b/>
        <x:color rgb="FF92400E"/>
      </x:font>
    </x:dxf>
    <x:dxf>
      <x:font>
        <x:b/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47243d219472d" /><Relationship Type="http://schemas.openxmlformats.org/officeDocument/2006/relationships/theme" Target="/xl/theme/theme1.xml" Id="R2a88600489884810" /><Relationship Type="http://schemas.openxmlformats.org/officeDocument/2006/relationships/sharedStrings" Target="/xl/sharedStrings.xml" Id="Rcc48fb7ccabc43a0" /><Relationship Type="http://schemas.openxmlformats.org/officeDocument/2006/relationships/worksheet" Target="/xl/worksheets/sheet1.xml" Id="Rbaf53da1a0244171" /><Relationship Type="http://schemas.openxmlformats.org/officeDocument/2006/relationships/worksheet" Target="/xl/worksheets/sheet2.xml" Id="R4f359acd300c4e89" /><Relationship Type="http://schemas.openxmlformats.org/officeDocument/2006/relationships/worksheet" Target="/xl/worksheets/sheet3.xml" Id="R2b69c46581eb4153" /><Relationship Type="http://schemas.openxmlformats.org/officeDocument/2006/relationships/worksheet" Target="/xl/worksheets/sheet4.xml" Id="Rc72936f78851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22" hidden="0" customWidth="1"/>
    <x:col min="7" max="7" width="14" hidden="0" customWidth="1"/>
    <x:col min="8" max="8" width="18" hidden="0" customWidth="1"/>
  </x:cols>
  <x:sheetData>
    <x:row r="1">
      <x:c r="A1" s="5" t="str">
        <x:v>Northbridge - NIST CSF 2.0 Gap Assessment</x:v>
      </x:c>
      <x:c r="B1" s="5"/>
      <x:c r="C1" s="5"/>
      <x:c r="D1" s="5"/>
      <x:c r="E1" s="5"/>
      <x:c r="F1" s="5"/>
      <x:c r="G1" s="5"/>
      <x:c r="H1" s="5"/>
    </x:row>
    <x:row r="3">
      <x:c r="A3" s="19" t="str">
        <x:v>Assessed Outcomes</x:v>
      </x:c>
      <x:c r="B3" s="20" t="n">
        <x:f>COUNTA('CSF Assessment'!A2:A19)</x:f>
        <x:v>18</x:v>
      </x:c>
      <x:c r="D3" s="27" t="str">
        <x:v>CSF Function</x:v>
      </x:c>
      <x:c r="E3" s="28" t="str">
        <x:v>Outcomes</x:v>
      </x:c>
      <x:c r="F3" s="28" t="str">
        <x:v>High Priority</x:v>
      </x:c>
      <x:c r="G3" s="28" t="str">
        <x:v>Main Theme</x:v>
      </x:c>
      <x:c r="H3" s="29" t="str">
        <x:v>Near-Term Focus</x:v>
      </x:c>
    </x:row>
    <x:row r="4">
      <x:c r="A4" s="21" t="str">
        <x:v>Implemented</x:v>
      </x:c>
      <x:c r="B4" s="22" t="n">
        <x:f>COUNTIF('CSF Assessment'!D2:D19,"Implemented")</x:f>
        <x:v>1</x:v>
      </x:c>
      <x:c r="D4" s="30" t="str">
        <x:v>GOVERN</x:v>
      </x:c>
      <x:c r="E4" s="30" t="n">
        <x:f>COUNTIF('CSF Assessment'!B2:B19,"GOVERN")</x:f>
        <x:v>5</x:v>
      </x:c>
      <x:c r="F4" s="30" t="n">
        <x:f>COUNTIFS('CSF Assessment'!B2:B19,"GOVERN",'CSF Assessment'!K2:K19,"High")</x:f>
        <x:v>4</x:v>
      </x:c>
      <x:c r="G4" s="30" t="str">
        <x:v>Accountability, risk appetite, vendor oversight</x:v>
      </x:c>
      <x:c r="H4" s="30" t="str">
        <x:v>Quarterly risk review</x:v>
      </x:c>
    </x:row>
    <x:row r="5">
      <x:c r="A5" s="21" t="str">
        <x:v>Partially Implemented</x:v>
      </x:c>
      <x:c r="B5" s="22" t="n">
        <x:f>COUNTIF('CSF Assessment'!D2:D19,"Partially Implemented")</x:f>
        <x:v>16</x:v>
      </x:c>
      <x:c r="D5" s="31" t="str">
        <x:v>IDENTIFY</x:v>
      </x:c>
      <x:c r="E5" s="31" t="n">
        <x:f>COUNTIF('CSF Assessment'!B2:B19,"IDENTIFY")</x:f>
        <x:v>3</x:v>
      </x:c>
      <x:c r="F5" s="31" t="n">
        <x:f>COUNTIFS('CSF Assessment'!B2:B19,"IDENTIFY",'CSF Assessment'!K2:K19,"High")</x:f>
        <x:v>2</x:v>
      </x:c>
      <x:c r="G5" s="31" t="str">
        <x:v>Assets, vulnerabilities, improvement tracking</x:v>
      </x:c>
      <x:c r="H5" s="31" t="str">
        <x:v>Inventory and SLA governance</x:v>
      </x:c>
    </x:row>
    <x:row r="6">
      <x:c r="A6" s="21" t="str">
        <x:v>Not Implemented</x:v>
      </x:c>
      <x:c r="B6" s="22" t="n">
        <x:f>COUNTIF('CSF Assessment'!D2:D19,"Not Implemented")</x:f>
        <x:v>1</x:v>
      </x:c>
      <x:c r="D6" s="31" t="str">
        <x:v>PROTECT</x:v>
      </x:c>
      <x:c r="E6" s="31" t="n">
        <x:f>COUNTIF('CSF Assessment'!B2:B19,"PROTECT")</x:f>
        <x:v>4</x:v>
      </x:c>
      <x:c r="F6" s="31" t="n">
        <x:f>COUNTIFS('CSF Assessment'!B2:B19,"PROTECT",'CSF Assessment'!K2:K19,"High")</x:f>
        <x:v>2</x:v>
      </x:c>
      <x:c r="G6" s="31" t="str">
        <x:v>Access, training, configuration, data protection</x:v>
      </x:c>
      <x:c r="H6" s="31" t="str">
        <x:v>Privileged MFA and baselines</x:v>
      </x:c>
    </x:row>
    <x:row r="7">
      <x:c r="A7" s="21" t="str">
        <x:v>High Priority Gaps</x:v>
      </x:c>
      <x:c r="B7" s="22" t="n">
        <x:f>COUNTIF('CSF Assessment'!K2:K19,"High")</x:f>
        <x:v>12</x:v>
      </x:c>
      <x:c r="D7" s="31" t="str">
        <x:v>DETECT</x:v>
      </x:c>
      <x:c r="E7" s="31" t="n">
        <x:f>COUNTIF('CSF Assessment'!B2:B19,"DETECT")</x:f>
        <x:v>2</x:v>
      </x:c>
      <x:c r="F7" s="31" t="n">
        <x:f>COUNTIFS('CSF Assessment'!B2:B19,"DETECT",'CSF Assessment'!K2:K19,"High")</x:f>
        <x:v>1</x:v>
      </x:c>
      <x:c r="G7" s="31" t="str">
        <x:v>Logging, alert ownership, triage</x:v>
      </x:c>
      <x:c r="H7" s="31" t="str">
        <x:v>Log and alert ownership</x:v>
      </x:c>
    </x:row>
    <x:row r="8">
      <x:c r="A8" s="23" t="str">
        <x:v>Assessment Date</x:v>
      </x:c>
      <x:c r="B8" s="25" t="n">
        <x:v>46247</x:v>
      </x:c>
      <x:c r="D8" s="31" t="str">
        <x:v>RESPOND</x:v>
      </x:c>
      <x:c r="E8" s="31" t="n">
        <x:f>COUNTIF('CSF Assessment'!B2:B19,"RESPOND")</x:f>
        <x:v>2</x:v>
      </x:c>
      <x:c r="F8" s="31" t="n">
        <x:f>COUNTIFS('CSF Assessment'!B2:B19,"RESPOND",'CSF Assessment'!K2:K19,"High")</x:f>
        <x:v>2</x:v>
      </x:c>
      <x:c r="G8" s="31" t="str">
        <x:v>IR plan, communications, tabletop</x:v>
      </x:c>
      <x:c r="H8" s="31" t="str">
        <x:v>Tabletop exercise</x:v>
      </x:c>
    </x:row>
    <x:row r="9">
      <x:c r="D9" s="32" t="str">
        <x:v>RECOVER</x:v>
      </x:c>
      <x:c r="E9" s="32" t="n">
        <x:f>COUNTIF('CSF Assessment'!B2:B19,"RECOVER")</x:f>
        <x:v>2</x:v>
      </x:c>
      <x:c r="F9" s="32" t="n">
        <x:f>COUNTIFS('CSF Assessment'!B2:B19,"RECOVER",'CSF Assessment'!K2:K19,"High")</x:f>
        <x:v>1</x:v>
      </x:c>
      <x:c r="G9" s="32" t="str">
        <x:v>Backup restoration, DR, customer communications</x:v>
      </x:c>
      <x:c r="H9" s="32" t="str">
        <x:v>Restore testing</x:v>
      </x:c>
    </x:row>
    <x:row r="11">
      <x:c r="A11" s="27" t="str">
        <x:v>Highest Priority Gaps</x:v>
      </x:c>
      <x:c r="B11" s="28" t="str">
        <x:v>Function</x:v>
      </x:c>
      <x:c r="C11" s="28" t="str">
        <x:v>Status</x:v>
      </x:c>
      <x:c r="D11" s="28" t="str">
        <x:v>Risk</x:v>
      </x:c>
      <x:c r="E11" s="28" t="str">
        <x:v>Recommendation</x:v>
      </x:c>
      <x:c r="F11" s="28" t="str">
        <x:v>Owner</x:v>
      </x:c>
      <x:c r="G11" s="28" t="str">
        <x:v>Priority</x:v>
      </x:c>
      <x:c r="H11" s="29" t="str">
        <x:v>Roadmap</x:v>
      </x:c>
    </x:row>
    <x:row r="12">
      <x:c r="A12" s="30" t="str">
        <x:v>GV.OC-01</x:v>
      </x:c>
      <x:c r="B12" s="30" t="str">
        <x:v>GOVERN</x:v>
      </x:c>
      <x:c r="C12" s="30" t="str">
        <x:v>Partially Implemented</x:v>
      </x:c>
      <x:c r="D12" s="30" t="str">
        <x:v>Medium</x:v>
      </x:c>
      <x:c r="E12" s="30" t="str">
        <x:v>Create annual security strategy review tied to business goals</x:v>
      </x:c>
      <x:c r="F12" s="30" t="str">
        <x:v>CISO</x:v>
      </x:c>
      <x:c r="G12" s="30" t="str">
        <x:v>High</x:v>
      </x:c>
      <x:c r="H12" s="30" t="str">
        <x:v>0-30 days</x:v>
      </x:c>
    </x:row>
    <x:row r="13">
      <x:c r="A13" s="31" t="str">
        <x:v>GV.RM-01</x:v>
      </x:c>
      <x:c r="B13" s="31" t="str">
        <x:v>GOVERN</x:v>
      </x:c>
      <x:c r="C13" s="31" t="str">
        <x:v>Partially Implemented</x:v>
      </x:c>
      <x:c r="D13" s="31" t="str">
        <x:v>High</x:v>
      </x:c>
      <x:c r="E13" s="31" t="str">
        <x:v>Define risk appetite and escalation thresholds</x:v>
      </x:c>
      <x:c r="F13" s="31" t="str">
        <x:v>CISO / CFO</x:v>
      </x:c>
      <x:c r="G13" s="31" t="str">
        <x:v>High</x:v>
      </x:c>
      <x:c r="H13" s="31" t="str">
        <x:v>31-90 days</x:v>
      </x:c>
    </x:row>
    <x:row r="14">
      <x:c r="A14" s="31" t="str">
        <x:v>GV.RR-02</x:v>
      </x:c>
      <x:c r="B14" s="31" t="str">
        <x:v>GOVERN</x:v>
      </x:c>
      <x:c r="C14" s="31" t="str">
        <x:v>Partially Implemented</x:v>
      </x:c>
      <x:c r="D14" s="31" t="str">
        <x:v>Medium</x:v>
      </x:c>
      <x:c r="E14" s="31" t="str">
        <x:v>Create control-owner matrix</x:v>
      </x:c>
      <x:c r="F14" s="31" t="str">
        <x:v>GRC Lead</x:v>
      </x:c>
      <x:c r="G14" s="31" t="str">
        <x:v>High</x:v>
      </x:c>
      <x:c r="H14" s="31" t="str">
        <x:v>31-90 days</x:v>
      </x:c>
    </x:row>
    <x:row r="15">
      <x:c r="A15" s="31" t="str">
        <x:v>GV.SC-04</x:v>
      </x:c>
      <x:c r="B15" s="31" t="str">
        <x:v>GOVERN</x:v>
      </x:c>
      <x:c r="C15" s="31" t="str">
        <x:v>Partially Implemented</x:v>
      </x:c>
      <x:c r="D15" s="31" t="str">
        <x:v>High</x:v>
      </x:c>
      <x:c r="E15" s="31" t="str">
        <x:v>Implement vendor tiering and annual critical vendor assessment</x:v>
      </x:c>
      <x:c r="F15" s="31" t="str">
        <x:v>Procurement / GRC</x:v>
      </x:c>
      <x:c r="G15" s="31" t="str">
        <x:v>High</x:v>
      </x:c>
      <x:c r="H15" s="31" t="str">
        <x:v>31-90 days</x:v>
      </x:c>
    </x:row>
    <x:row r="16">
      <x:c r="A16" s="32" t="str">
        <x:v>ID.AM-01</x:v>
      </x:c>
      <x:c r="B16" s="32" t="str">
        <x:v>IDENTIFY</x:v>
      </x:c>
      <x:c r="C16" s="32" t="str">
        <x:v>Partially Implemented</x:v>
      </x:c>
      <x:c r="D16" s="32" t="str">
        <x:v>High</x:v>
      </x:c>
      <x:c r="E16" s="32" t="str">
        <x:v>Assign owners and reconcile assets monthly</x:v>
      </x:c>
      <x:c r="F16" s="32" t="str">
        <x:v>IT Operations</x:v>
      </x:c>
      <x:c r="G16" s="32" t="str">
        <x:v>High</x:v>
      </x:c>
      <x:c r="H16" s="32" t="str">
        <x:v>31-90 days</x:v>
      </x:c>
    </x:row>
  </x:sheetData>
  <x:mergeCells>
    <x:mergeCell ref="A1:H1"/>
  </x:mergeCells>
  <x:conditionalFormatting sqref="D12:D16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</x:conditionalFormatting>
  <x:conditionalFormatting sqref="G12:G16">
    <x:cfRule type="containsText" dxfId="4" priority="5" operator="containsText" text="Critical"/>
    <x:cfRule type="containsText" dxfId="5" priority="6" operator="containsText" text="High"/>
    <x:cfRule type="containsText" dxfId="6" priority="7" operator="containsText" text="Medium"/>
    <x:cfRule type="containsText" dxfId="7" priority="8" operator="containsText" text="Lo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22" hidden="0" customWidth="1"/>
    <x:col min="5" max="5" width="42" hidden="0" customWidth="1"/>
    <x:col min="6" max="6" width="48" hidden="0" customWidth="1"/>
    <x:col min="7" max="7" width="42" hidden="0" customWidth="1"/>
    <x:col min="8" max="8" width="16" hidden="0" customWidth="1"/>
    <x:col min="9" max="9" width="48" hidden="0" customWidth="1"/>
    <x:col min="10" max="10" width="24" hidden="0" customWidth="1"/>
    <x:col min="11" max="11" width="14" hidden="0" customWidth="1"/>
    <x:col min="12" max="12" width="18" hidden="0" customWidth="1"/>
    <x:col min="13" max="13" width="36" hidden="0" customWidth="1"/>
  </x:cols>
  <x:sheetData>
    <x:row r="1">
      <x:c r="A1" s="27" t="str">
        <x:v>CSF ID</x:v>
      </x:c>
      <x:c r="B1" s="28" t="str">
        <x:v>Function</x:v>
      </x:c>
      <x:c r="C1" s="28" t="str">
        <x:v>Outcome</x:v>
      </x:c>
      <x:c r="D1" s="28" t="str">
        <x:v>Current Status</x:v>
      </x:c>
      <x:c r="E1" s="28" t="str">
        <x:v>Current Evidence</x:v>
      </x:c>
      <x:c r="F1" s="28" t="str">
        <x:v>Target State</x:v>
      </x:c>
      <x:c r="G1" s="28" t="str">
        <x:v>Gap</x:v>
      </x:c>
      <x:c r="H1" s="28" t="str">
        <x:v>Business Risk</x:v>
      </x:c>
      <x:c r="I1" s="28" t="str">
        <x:v>Recommendation</x:v>
      </x:c>
      <x:c r="J1" s="28" t="str">
        <x:v>Owner</x:v>
      </x:c>
      <x:c r="K1" s="28" t="str">
        <x:v>Priority</x:v>
      </x:c>
      <x:c r="L1" s="28" t="str">
        <x:v>Roadmap Phase</x:v>
      </x:c>
      <x:c r="M1" s="29" t="str">
        <x:v>Framework References</x:v>
      </x:c>
    </x:row>
    <x:row r="2">
      <x:c r="A2" s="30" t="str">
        <x:v>GV.OC-01</x:v>
      </x:c>
      <x:c r="B2" s="30" t="str">
        <x:v>GOVERN</x:v>
      </x:c>
      <x:c r="C2" s="30" t="str">
        <x:v>Organizational context and mission understood</x:v>
      </x:c>
      <x:c r="D2" s="30" t="str">
        <x:v>Partially Implemented</x:v>
      </x:c>
      <x:c r="E2" s="30" t="str">
        <x:v>Company profile exists; customer obligations known</x:v>
      </x:c>
      <x:c r="F2" s="30" t="str">
        <x:v>Documented business context, security objectives, and customer commitments reviewed annually</x:v>
      </x:c>
      <x:c r="G2" s="30" t="str">
        <x:v>Security objectives not formally reviewed with leadership</x:v>
      </x:c>
      <x:c r="H2" s="30" t="str">
        <x:v>Medium</x:v>
      </x:c>
      <x:c r="I2" s="30" t="str">
        <x:v>Create annual security strategy review tied to business goals</x:v>
      </x:c>
      <x:c r="J2" s="30" t="str">
        <x:v>CISO</x:v>
      </x:c>
      <x:c r="K2" s="30" t="str">
        <x:v>High</x:v>
      </x:c>
      <x:c r="L2" s="30" t="str">
        <x:v>0-30 days</x:v>
      </x:c>
      <x:c r="M2" s="30" t="str">
        <x:v>NIST SP 1308; ISO 27001 Clause 4</x:v>
      </x:c>
    </x:row>
    <x:row r="3">
      <x:c r="A3" s="31" t="str">
        <x:v>GV.RM-01</x:v>
      </x:c>
      <x:c r="B3" s="31" t="str">
        <x:v>GOVERN</x:v>
      </x:c>
      <x:c r="C3" s="31" t="str">
        <x:v>Risk management objectives established</x:v>
      </x:c>
      <x:c r="D3" s="31" t="str">
        <x:v>Partially Implemented</x:v>
      </x:c>
      <x:c r="E3" s="31" t="str">
        <x:v>Risk register created in Project 1</x:v>
      </x:c>
      <x:c r="F3" s="31" t="str">
        <x:v>Approved cyber risk appetite/tolerance and escalation criteria</x:v>
      </x:c>
      <x:c r="G3" s="31" t="str">
        <x:v>Risk appetite not formally approved</x:v>
      </x:c>
      <x:c r="H3" s="31" t="str">
        <x:v>High</x:v>
      </x:c>
      <x:c r="I3" s="31" t="str">
        <x:v>Define risk appetite and escalation thresholds</x:v>
      </x:c>
      <x:c r="J3" s="31" t="str">
        <x:v>CISO / CFO</x:v>
      </x:c>
      <x:c r="K3" s="31" t="str">
        <x:v>High</x:v>
      </x:c>
      <x:c r="L3" s="31" t="str">
        <x:v>31-90 days</x:v>
      </x:c>
      <x:c r="M3" s="31" t="str">
        <x:v>NIST IR 8286 Rev. 1</x:v>
      </x:c>
    </x:row>
    <x:row r="4">
      <x:c r="A4" s="31" t="str">
        <x:v>GV.RR-02</x:v>
      </x:c>
      <x:c r="B4" s="31" t="str">
        <x:v>GOVERN</x:v>
      </x:c>
      <x:c r="C4" s="31" t="str">
        <x:v>Cybersecurity roles and responsibilities assigned</x:v>
      </x:c>
      <x:c r="D4" s="31" t="str">
        <x:v>Partially Implemented</x:v>
      </x:c>
      <x:c r="E4" s="31" t="str">
        <x:v>Owners listed in risk register</x:v>
      </x:c>
      <x:c r="F4" s="31" t="str">
        <x:v>Named control owners and backup owners for key domains</x:v>
      </x:c>
      <x:c r="G4" s="31" t="str">
        <x:v>Ownership not complete for every key control</x:v>
      </x:c>
      <x:c r="H4" s="31" t="str">
        <x:v>Medium</x:v>
      </x:c>
      <x:c r="I4" s="31" t="str">
        <x:v>Create control-owner matrix</x:v>
      </x:c>
      <x:c r="J4" s="31" t="str">
        <x:v>GRC Lead</x:v>
      </x:c>
      <x:c r="K4" s="31" t="str">
        <x:v>High</x:v>
      </x:c>
      <x:c r="L4" s="31" t="str">
        <x:v>31-90 days</x:v>
      </x:c>
      <x:c r="M4" s="31" t="str">
        <x:v>ISO 27001 Clause 5</x:v>
      </x:c>
    </x:row>
    <x:row r="5">
      <x:c r="A5" s="31" t="str">
        <x:v>GV.PO-01</x:v>
      </x:c>
      <x:c r="B5" s="31" t="str">
        <x:v>GOVERN</x:v>
      </x:c>
      <x:c r="C5" s="31" t="str">
        <x:v>Cybersecurity policies established</x:v>
      </x:c>
      <x:c r="D5" s="31" t="str">
        <x:v>Partially Implemented</x:v>
      </x:c>
      <x:c r="E5" s="31" t="str">
        <x:v>Policy set exists</x:v>
      </x:c>
      <x:c r="F5" s="31" t="str">
        <x:v>Policies approved, reviewed annually, and mapped to controls</x:v>
      </x:c>
      <x:c r="G5" s="31" t="str">
        <x:v>Policy review cadence inconsistent</x:v>
      </x:c>
      <x:c r="H5" s="31" t="str">
        <x:v>Medium</x:v>
      </x:c>
      <x:c r="I5" s="31" t="str">
        <x:v>Approve annual policy review calendar</x:v>
      </x:c>
      <x:c r="J5" s="31" t="str">
        <x:v>GRC Lead</x:v>
      </x:c>
      <x:c r="K5" s="31" t="str">
        <x:v>Medium</x:v>
      </x:c>
      <x:c r="L5" s="31" t="str">
        <x:v>0-30 days</x:v>
      </x:c>
      <x:c r="M5" s="31" t="str">
        <x:v>ISO 27001 Clause 5; SOC 2 CC1</x:v>
      </x:c>
    </x:row>
    <x:row r="6">
      <x:c r="A6" s="31" t="str">
        <x:v>GV.SC-04</x:v>
      </x:c>
      <x:c r="B6" s="31" t="str">
        <x:v>GOVERN</x:v>
      </x:c>
      <x:c r="C6" s="31" t="str">
        <x:v>Supplier risk managed</x:v>
      </x:c>
      <x:c r="D6" s="31" t="str">
        <x:v>Partially Implemented</x:v>
      </x:c>
      <x:c r="E6" s="31" t="str">
        <x:v>Vendor list exists</x:v>
      </x:c>
      <x:c r="F6" s="31" t="str">
        <x:v>Risk-tiered vendor program with annual critical vendor reviews</x:v>
      </x:c>
      <x:c r="G6" s="31" t="str">
        <x:v>Critical vendor tiering incomplete</x:v>
      </x:c>
      <x:c r="H6" s="31" t="str">
        <x:v>High</x:v>
      </x:c>
      <x:c r="I6" s="31" t="str">
        <x:v>Implement vendor tiering and annual critical vendor assessment</x:v>
      </x:c>
      <x:c r="J6" s="31" t="str">
        <x:v>Procurement / GRC</x:v>
      </x:c>
      <x:c r="K6" s="31" t="str">
        <x:v>High</x:v>
      </x:c>
      <x:c r="L6" s="31" t="str">
        <x:v>31-90 days</x:v>
      </x:c>
      <x:c r="M6" s="31" t="str">
        <x:v>NIST SP 800-161 Rev. 1 Update 1; CIS 15</x:v>
      </x:c>
    </x:row>
    <x:row r="7">
      <x:c r="A7" s="31" t="str">
        <x:v>ID.AM-01</x:v>
      </x:c>
      <x:c r="B7" s="31" t="str">
        <x:v>IDENTIFY</x:v>
      </x:c>
      <x:c r="C7" s="31" t="str">
        <x:v>Assets inventoried</x:v>
      </x:c>
      <x:c r="D7" s="31" t="str">
        <x:v>Partially Implemented</x:v>
      </x:c>
      <x:c r="E7" s="31" t="str">
        <x:v>Cloud and SaaS systems known</x:v>
      </x:c>
      <x:c r="F7" s="31" t="str">
        <x:v>Authoritative asset inventory with owner and criticality</x:v>
      </x:c>
      <x:c r="G7" s="31" t="str">
        <x:v>Inventory not consistently owned or reconciled</x:v>
      </x:c>
      <x:c r="H7" s="31" t="str">
        <x:v>High</x:v>
      </x:c>
      <x:c r="I7" s="31" t="str">
        <x:v>Assign owners and reconcile assets monthly</x:v>
      </x:c>
      <x:c r="J7" s="31" t="str">
        <x:v>IT Operations</x:v>
      </x:c>
      <x:c r="K7" s="31" t="str">
        <x:v>High</x:v>
      </x:c>
      <x:c r="L7" s="31" t="str">
        <x:v>31-90 days</x:v>
      </x:c>
      <x:c r="M7" s="31" t="str">
        <x:v>CIS 1, CIS 2</x:v>
      </x:c>
    </x:row>
    <x:row r="8">
      <x:c r="A8" s="31" t="str">
        <x:v>ID.RA-01</x:v>
      </x:c>
      <x:c r="B8" s="31" t="str">
        <x:v>IDENTIFY</x:v>
      </x:c>
      <x:c r="C8" s="31" t="str">
        <x:v>Vulnerabilities identified and documented</x:v>
      </x:c>
      <x:c r="D8" s="31" t="str">
        <x:v>Partially Implemented</x:v>
      </x:c>
      <x:c r="E8" s="31" t="str">
        <x:v>Scanning occurs</x:v>
      </x:c>
      <x:c r="F8" s="31" t="str">
        <x:v>Vulnerability findings tracked to SLA with exception workflow</x:v>
      </x:c>
      <x:c r="G8" s="31" t="str">
        <x:v>SLA evidence inconsistent</x:v>
      </x:c>
      <x:c r="H8" s="31" t="str">
        <x:v>High</x:v>
      </x:c>
      <x:c r="I8" s="31" t="str">
        <x:v>Adopt remediation SLA and exception process</x:v>
      </x:c>
      <x:c r="J8" s="31" t="str">
        <x:v>Security Engineer</x:v>
      </x:c>
      <x:c r="K8" s="31" t="str">
        <x:v>High</x:v>
      </x:c>
      <x:c r="L8" s="31" t="str">
        <x:v>31-90 days</x:v>
      </x:c>
      <x:c r="M8" s="31" t="str">
        <x:v>NIST 800-53 RA-5; CIS 7</x:v>
      </x:c>
    </x:row>
    <x:row r="9">
      <x:c r="A9" s="31" t="str">
        <x:v>ID.IM-02</x:v>
      </x:c>
      <x:c r="B9" s="31" t="str">
        <x:v>IDENTIFY</x:v>
      </x:c>
      <x:c r="C9" s="31" t="str">
        <x:v>Improvements identified from assessments</x:v>
      </x:c>
      <x:c r="D9" s="31" t="str">
        <x:v>Partially Implemented</x:v>
      </x:c>
      <x:c r="E9" s="31" t="str">
        <x:v>Project risk assessment and CSF assessment exist</x:v>
      </x:c>
      <x:c r="F9" s="31" t="str">
        <x:v>Assessment findings tracked through closure</x:v>
      </x:c>
      <x:c r="G9" s="31" t="str">
        <x:v>No standing governance cadence for findings</x:v>
      </x:c>
      <x:c r="H9" s="31" t="str">
        <x:v>Medium</x:v>
      </x:c>
      <x:c r="I9" s="31" t="str">
        <x:v>Create monthly remediation review</x:v>
      </x:c>
      <x:c r="J9" s="31" t="str">
        <x:v>GRC Lead</x:v>
      </x:c>
      <x:c r="K9" s="31" t="str">
        <x:v>Medium</x:v>
      </x:c>
      <x:c r="L9" s="31" t="str">
        <x:v>31-90 days</x:v>
      </x:c>
      <x:c r="M9" s="31" t="str">
        <x:v>NIST IR 8286C Rev. 1</x:v>
      </x:c>
    </x:row>
    <x:row r="10">
      <x:c r="A10" s="31" t="str">
        <x:v>PR.AA-01</x:v>
      </x:c>
      <x:c r="B10" s="31" t="str">
        <x:v>PROTECT</x:v>
      </x:c>
      <x:c r="C10" s="31" t="str">
        <x:v>Identities and credentials managed</x:v>
      </x:c>
      <x:c r="D10" s="31" t="str">
        <x:v>Partially Implemented</x:v>
      </x:c>
      <x:c r="E10" s="31" t="str">
        <x:v>SSO and MFA enabled</x:v>
      </x:c>
      <x:c r="F10" s="31" t="str">
        <x:v>Centralized identity lifecycle with enforced MFA and reviewed exceptions</x:v>
      </x:c>
      <x:c r="G10" s="31" t="str">
        <x:v>Privileged MFA exceptions and reviews need improvement</x:v>
      </x:c>
      <x:c r="H10" s="31" t="str">
        <x:v>High</x:v>
      </x:c>
      <x:c r="I10" s="31" t="str">
        <x:v>Enforce phishing-resistant MFA for admins and quarterly access reviews</x:v>
      </x:c>
      <x:c r="J10" s="31" t="str">
        <x:v>VP of IT</x:v>
      </x:c>
      <x:c r="K10" s="31" t="str">
        <x:v>High</x:v>
      </x:c>
      <x:c r="L10" s="31" t="str">
        <x:v>0-30 days</x:v>
      </x:c>
      <x:c r="M10" s="31" t="str">
        <x:v>NIST 800-53 IA-2; CIS 6</x:v>
      </x:c>
    </x:row>
    <x:row r="11">
      <x:c r="A11" s="31" t="str">
        <x:v>PR.AT-01</x:v>
      </x:c>
      <x:c r="B11" s="31" t="str">
        <x:v>PROTECT</x:v>
      </x:c>
      <x:c r="C11" s="31" t="str">
        <x:v>Personnel receive security awareness</x:v>
      </x:c>
      <x:c r="D11" s="31" t="str">
        <x:v>Partially Implemented</x:v>
      </x:c>
      <x:c r="E11" s="31" t="str">
        <x:v>Annual training exists</x:v>
      </x:c>
      <x:c r="F11" s="31" t="str">
        <x:v>Training completion evidenced for employees and contractors</x:v>
      </x:c>
      <x:c r="G11" s="31" t="str">
        <x:v>Contractor training evidence incomplete</x:v>
      </x:c>
      <x:c r="H11" s="31" t="str">
        <x:v>Medium</x:v>
      </x:c>
      <x:c r="I11" s="31" t="str">
        <x:v>Expand training tracker to contractors</x:v>
      </x:c>
      <x:c r="J11" s="31" t="str">
        <x:v>People Operations</x:v>
      </x:c>
      <x:c r="K11" s="31" t="str">
        <x:v>Medium</x:v>
      </x:c>
      <x:c r="L11" s="31" t="str">
        <x:v>31-90 days</x:v>
      </x:c>
      <x:c r="M11" s="31" t="str">
        <x:v>NIST 800-53 AT-2; CIS 14</x:v>
      </x:c>
    </x:row>
    <x:row r="12">
      <x:c r="A12" s="31" t="str">
        <x:v>PR.DS-01</x:v>
      </x:c>
      <x:c r="B12" s="31" t="str">
        <x:v>PROTECT</x:v>
      </x:c>
      <x:c r="C12" s="31" t="str">
        <x:v>Data-at-rest protected</x:v>
      </x:c>
      <x:c r="D12" s="31" t="str">
        <x:v>Implemented</x:v>
      </x:c>
      <x:c r="E12" s="31" t="str">
        <x:v>Cloud encryption standards enabled</x:v>
      </x:c>
      <x:c r="F12" s="31" t="str">
        <x:v>Encryption enforced and reviewed for data stores</x:v>
      </x:c>
      <x:c r="G12" s="31" t="str">
        <x:v>No material gap identified for baseline encryption</x:v>
      </x:c>
      <x:c r="H12" s="31" t="str">
        <x:v>Low</x:v>
      </x:c>
      <x:c r="I12" s="31" t="str">
        <x:v>Continue periodic configuration review</x:v>
      </x:c>
      <x:c r="J12" s="31" t="str">
        <x:v>Cloud Engineering</x:v>
      </x:c>
      <x:c r="K12" s="31" t="str">
        <x:v>Low</x:v>
      </x:c>
      <x:c r="L12" s="31" t="str">
        <x:v>6-12 months</x:v>
      </x:c>
      <x:c r="M12" s="31" t="str">
        <x:v>ISO 27002; ISO 27017:2026</x:v>
      </x:c>
    </x:row>
    <x:row r="13">
      <x:c r="A13" s="31" t="str">
        <x:v>PR.PS-01</x:v>
      </x:c>
      <x:c r="B13" s="31" t="str">
        <x:v>PROTECT</x:v>
      </x:c>
      <x:c r="C13" s="31" t="str">
        <x:v>Configuration management practiced</x:v>
      </x:c>
      <x:c r="D13" s="31" t="str">
        <x:v>Partially Implemented</x:v>
      </x:c>
      <x:c r="E13" s="31" t="str">
        <x:v>IaC and change reviews exist</x:v>
      </x:c>
      <x:c r="F13" s="31" t="str">
        <x:v>Configuration baselines monitored with security exceptions tracked</x:v>
      </x:c>
      <x:c r="G13" s="31" t="str">
        <x:v>Cloud configuration monitoring incomplete</x:v>
      </x:c>
      <x:c r="H13" s="31" t="str">
        <x:v>High</x:v>
      </x:c>
      <x:c r="I13" s="31" t="str">
        <x:v>Implement configuration monitoring and monthly owner review</x:v>
      </x:c>
      <x:c r="J13" s="31" t="str">
        <x:v>Cloud Engineering</x:v>
      </x:c>
      <x:c r="K13" s="31" t="str">
        <x:v>High</x:v>
      </x:c>
      <x:c r="L13" s="31" t="str">
        <x:v>31-90 days</x:v>
      </x:c>
      <x:c r="M13" s="31" t="str">
        <x:v>NIST 800-53 CM-2; CIS 4</x:v>
      </x:c>
    </x:row>
    <x:row r="14">
      <x:c r="A14" s="31" t="str">
        <x:v>DE.CM-01</x:v>
      </x:c>
      <x:c r="B14" s="31" t="str">
        <x:v>DETECT</x:v>
      </x:c>
      <x:c r="C14" s="31" t="str">
        <x:v>Networks and services monitored</x:v>
      </x:c>
      <x:c r="D14" s="31" t="str">
        <x:v>Partially Implemented</x:v>
      </x:c>
      <x:c r="E14" s="31" t="str">
        <x:v>Cloud and SaaS logs available</x:v>
      </x:c>
      <x:c r="F14" s="31" t="str">
        <x:v>Critical logs mapped, retained, alerted, and owned</x:v>
      </x:c>
      <x:c r="G14" s="31" t="str">
        <x:v>Alert ownership and coverage not fully mapped</x:v>
      </x:c>
      <x:c r="H14" s="31" t="str">
        <x:v>High</x:v>
      </x:c>
      <x:c r="I14" s="31" t="str">
        <x:v>Map critical log sources and alert owners</x:v>
      </x:c>
      <x:c r="J14" s="31" t="str">
        <x:v>Security Operations</x:v>
      </x:c>
      <x:c r="K14" s="31" t="str">
        <x:v>High</x:v>
      </x:c>
      <x:c r="L14" s="31" t="str">
        <x:v>31-90 days</x:v>
      </x:c>
      <x:c r="M14" s="31" t="str">
        <x:v>NIST 800-53 SI-4; CIS 8</x:v>
      </x:c>
    </x:row>
    <x:row r="15">
      <x:c r="A15" s="31" t="str">
        <x:v>DE.AE-02</x:v>
      </x:c>
      <x:c r="B15" s="31" t="str">
        <x:v>DETECT</x:v>
      </x:c>
      <x:c r="C15" s="31" t="str">
        <x:v>Potentially adverse events analyzed</x:v>
      </x:c>
      <x:c r="D15" s="31" t="str">
        <x:v>Partially Implemented</x:v>
      </x:c>
      <x:c r="E15" s="31" t="str">
        <x:v>Some alerts reviewed</x:v>
      </x:c>
      <x:c r="F15" s="31" t="str">
        <x:v>Alert triage procedure with documented escalation</x:v>
      </x:c>
      <x:c r="G15" s="31" t="str">
        <x:v>Triage documentation inconsistent</x:v>
      </x:c>
      <x:c r="H15" s="31" t="str">
        <x:v>Medium</x:v>
      </x:c>
      <x:c r="I15" s="31" t="str">
        <x:v>Document alert triage and escalation criteria</x:v>
      </x:c>
      <x:c r="J15" s="31" t="str">
        <x:v>Security Operations</x:v>
      </x:c>
      <x:c r="K15" s="31" t="str">
        <x:v>Medium</x:v>
      </x:c>
      <x:c r="L15" s="31" t="str">
        <x:v>3-6 months</x:v>
      </x:c>
      <x:c r="M15" s="31" t="str">
        <x:v>NIST SP 800-61 Rev. 3</x:v>
      </x:c>
    </x:row>
    <x:row r="16">
      <x:c r="A16" s="31" t="str">
        <x:v>RS.MA-01</x:v>
      </x:c>
      <x:c r="B16" s="31" t="str">
        <x:v>RESPOND</x:v>
      </x:c>
      <x:c r="C16" s="31" t="str">
        <x:v>Incident response executed</x:v>
      </x:c>
      <x:c r="D16" s="31" t="str">
        <x:v>Partially Implemented</x:v>
      </x:c>
      <x:c r="E16" s="31" t="str">
        <x:v>IR plan exists</x:v>
      </x:c>
      <x:c r="F16" s="31" t="str">
        <x:v>Plan tested through tabletop with lessons learned</x:v>
      </x:c>
      <x:c r="G16" s="31" t="str">
        <x:v>No recent tabletop exercise</x:v>
      </x:c>
      <x:c r="H16" s="31" t="str">
        <x:v>High</x:v>
      </x:c>
      <x:c r="I16" s="31" t="str">
        <x:v>Conduct tabletop exercise and track corrective actions</x:v>
      </x:c>
      <x:c r="J16" s="31" t="str">
        <x:v>CISO</x:v>
      </x:c>
      <x:c r="K16" s="31" t="str">
        <x:v>High</x:v>
      </x:c>
      <x:c r="L16" s="31" t="str">
        <x:v>3-6 months</x:v>
      </x:c>
      <x:c r="M16" s="31" t="str">
        <x:v>NIST SP 800-61 Rev. 3; CIS 17</x:v>
      </x:c>
    </x:row>
    <x:row r="17">
      <x:c r="A17" s="31" t="str">
        <x:v>RS.CO-03</x:v>
      </x:c>
      <x:c r="B17" s="31" t="str">
        <x:v>RESPOND</x:v>
      </x:c>
      <x:c r="C17" s="31" t="str">
        <x:v>Information shared with stakeholders</x:v>
      </x:c>
      <x:c r="D17" s="31" t="str">
        <x:v>Partially Implemented</x:v>
      </x:c>
      <x:c r="E17" s="31" t="str">
        <x:v>Escalation contacts exist</x:v>
      </x:c>
      <x:c r="F17" s="31" t="str">
        <x:v>Legal, customer, executive communications playbook tested</x:v>
      </x:c>
      <x:c r="G17" s="31" t="str">
        <x:v>Communication playbook not exercised</x:v>
      </x:c>
      <x:c r="H17" s="31" t="str">
        <x:v>High</x:v>
      </x:c>
      <x:c r="I17" s="31" t="str">
        <x:v>Add stakeholder communications to tabletop</x:v>
      </x:c>
      <x:c r="J17" s="31" t="str">
        <x:v>Legal / CISO</x:v>
      </x:c>
      <x:c r="K17" s="31" t="str">
        <x:v>High</x:v>
      </x:c>
      <x:c r="L17" s="31" t="str">
        <x:v>3-6 months</x:v>
      </x:c>
      <x:c r="M17" s="31" t="str">
        <x:v>NIST SP 800-61 Rev. 3</x:v>
      </x:c>
    </x:row>
    <x:row r="18">
      <x:c r="A18" s="31" t="str">
        <x:v>RC.RP-01</x:v>
      </x:c>
      <x:c r="B18" s="31" t="str">
        <x:v>RECOVER</x:v>
      </x:c>
      <x:c r="C18" s="31" t="str">
        <x:v>Recovery plan executed</x:v>
      </x:c>
      <x:c r="D18" s="31" t="str">
        <x:v>Partially Implemented</x:v>
      </x:c>
      <x:c r="E18" s="31" t="str">
        <x:v>Backups exist</x:v>
      </x:c>
      <x:c r="F18" s="31" t="str">
        <x:v>Recovery tested against RTO/RPO</x:v>
      </x:c>
      <x:c r="G18" s="31" t="str">
        <x:v>Recovery testing evidence incomplete</x:v>
      </x:c>
      <x:c r="H18" s="31" t="str">
        <x:v>High</x:v>
      </x:c>
      <x:c r="I18" s="31" t="str">
        <x:v>Perform backup restoration and DR test</x:v>
      </x:c>
      <x:c r="J18" s="31" t="str">
        <x:v>Infrastructure</x:v>
      </x:c>
      <x:c r="K18" s="31" t="str">
        <x:v>High</x:v>
      </x:c>
      <x:c r="L18" s="31" t="str">
        <x:v>3-6 months</x:v>
      </x:c>
      <x:c r="M18" s="31" t="str">
        <x:v>NIST 800-53 CP-10; CIS 11</x:v>
      </x:c>
    </x:row>
    <x:row r="19">
      <x:c r="A19" s="32" t="str">
        <x:v>RC.CO-03</x:v>
      </x:c>
      <x:c r="B19" s="32" t="str">
        <x:v>RECOVER</x:v>
      </x:c>
      <x:c r="C19" s="32" t="str">
        <x:v>Recovery activities communicated</x:v>
      </x:c>
      <x:c r="D19" s="32" t="str">
        <x:v>Not Implemented</x:v>
      </x:c>
      <x:c r="E19" s="32" t="str">
        <x:v>No formal evidence</x:v>
      </x:c>
      <x:c r="F19" s="32" t="str">
        <x:v>Recovery communications plan for customers and executives</x:v>
      </x:c>
      <x:c r="G19" s="32" t="str">
        <x:v>No tested recovery communications plan</x:v>
      </x:c>
      <x:c r="H19" s="32" t="str">
        <x:v>Medium</x:v>
      </x:c>
      <x:c r="I19" s="32" t="str">
        <x:v>Create recovery communications template and exercise it</x:v>
      </x:c>
      <x:c r="J19" s="32" t="str">
        <x:v>Customer Operations / Legal</x:v>
      </x:c>
      <x:c r="K19" s="32" t="str">
        <x:v>Medium</x:v>
      </x:c>
      <x:c r="L19" s="32" t="str">
        <x:v>6-12 months</x:v>
      </x:c>
      <x:c r="M19" s="32" t="str">
        <x:v>NIST CSF 2.0 Recover</x:v>
      </x:c>
    </x:row>
  </x:sheetData>
  <x:conditionalFormatting sqref="H2:H19">
    <x:cfRule type="containsText" dxfId="8" priority="1" operator="containsText" text="Critical"/>
    <x:cfRule type="containsText" dxfId="9" priority="2" operator="containsText" text="High"/>
    <x:cfRule type="containsText" dxfId="10" priority="3" operator="containsText" text="Medium"/>
    <x:cfRule type="containsText" dxfId="11" priority="4" operator="containsText" text="Low"/>
  </x:conditionalFormatting>
  <x:conditionalFormatting sqref="K2:K19">
    <x:cfRule type="containsText" dxfId="12" priority="5" operator="containsText" text="Critical"/>
    <x:cfRule type="containsText" dxfId="13" priority="6" operator="containsText" text="High"/>
    <x:cfRule type="containsText" dxfId="14" priority="7" operator="containsText" text="Medium"/>
    <x:cfRule type="containsText" dxfId="15" priority="8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2" hidden="0" customWidth="1"/>
    <x:col min="4" max="4" width="24" hidden="0" customWidth="1"/>
    <x:col min="5" max="5" width="14" hidden="0" customWidth="1"/>
    <x:col min="6" max="6" width="42" hidden="0" customWidth="1"/>
    <x:col min="7" max="7" width="38" hidden="0" customWidth="1"/>
    <x:col min="8" max="8" width="44" hidden="0" customWidth="1"/>
  </x:cols>
  <x:sheetData>
    <x:row r="1">
      <x:c r="A1" s="27" t="str">
        <x:v>Roadmap Phase</x:v>
      </x:c>
      <x:c r="B1" s="28" t="str">
        <x:v>Action</x:v>
      </x:c>
      <x:c r="C1" s="28" t="str">
        <x:v>Related CSF IDs</x:v>
      </x:c>
      <x:c r="D1" s="28" t="str">
        <x:v>Owner</x:v>
      </x:c>
      <x:c r="E1" s="28" t="str">
        <x:v>Priority</x:v>
      </x:c>
      <x:c r="F1" s="28" t="str">
        <x:v>Expected Evidence</x:v>
      </x:c>
      <x:c r="G1" s="28" t="str">
        <x:v>Success Measure</x:v>
      </x:c>
      <x:c r="H1" s="29" t="str">
        <x:v>Interview Talking Point</x:v>
      </x:c>
    </x:row>
    <x:row r="2">
      <x:c r="A2" s="30" t="str">
        <x:v>0-30 days</x:v>
      </x:c>
      <x:c r="B2" s="30" t="str">
        <x:v>Approve security governance owners and policy review calendar</x:v>
      </x:c>
      <x:c r="C2" s="30" t="str">
        <x:v>GV.OC-01, GV.PO-01</x:v>
      </x:c>
      <x:c r="D2" s="30" t="str">
        <x:v>CISO / GRC</x:v>
      </x:c>
      <x:c r="E2" s="30" t="str">
        <x:v>High</x:v>
      </x:c>
      <x:c r="F2" s="30" t="str">
        <x:v>Approved calendar, owner matrix</x:v>
      </x:c>
      <x:c r="G2" s="30" t="str">
        <x:v>Owners assigned for key controls</x:v>
      </x:c>
      <x:c r="H2" s="30" t="str">
        <x:v>Governance turns framework results into accountability</x:v>
      </x:c>
    </x:row>
    <x:row r="3">
      <x:c r="A3" s="31" t="str">
        <x:v>0-30 days</x:v>
      </x:c>
      <x:c r="B3" s="31" t="str">
        <x:v>Remove unmanaged privileged MFA exceptions</x:v>
      </x:c>
      <x:c r="C3" s="31" t="str">
        <x:v>PR.AA-01</x:v>
      </x:c>
      <x:c r="D3" s="31" t="str">
        <x:v>VP of IT</x:v>
      </x:c>
      <x:c r="E3" s="31" t="str">
        <x:v>High</x:v>
      </x:c>
      <x:c r="F3" s="31" t="str">
        <x:v>MFA policy export, exception log</x:v>
      </x:c>
      <x:c r="G3" s="31" t="str">
        <x:v>100% admin MFA enforcement or approved exception</x:v>
      </x:c>
      <x:c r="H3" s="31" t="str">
        <x:v>Existing MFA is not enough if privileged exceptions are unmanaged</x:v>
      </x:c>
    </x:row>
    <x:row r="4">
      <x:c r="A4" s="31" t="str">
        <x:v>31-90 days</x:v>
      </x:c>
      <x:c r="B4" s="31" t="str">
        <x:v>Implement vendor risk tiering and critical vendor reviews</x:v>
      </x:c>
      <x:c r="C4" s="31" t="str">
        <x:v>GV.SC-04</x:v>
      </x:c>
      <x:c r="D4" s="31" t="str">
        <x:v>Procurement / GRC</x:v>
      </x:c>
      <x:c r="E4" s="31" t="str">
        <x:v>High</x:v>
      </x:c>
      <x:c r="F4" s="31" t="str">
        <x:v>Vendor inventory, tiering matrix, review evidence</x:v>
      </x:c>
      <x:c r="G4" s="31" t="str">
        <x:v>Critical vendors identified and review cadence set</x:v>
      </x:c>
      <x:c r="H4" s="31" t="str">
        <x:v>Supply-chain risk is part of cybersecurity governance</x:v>
      </x:c>
    </x:row>
    <x:row r="5">
      <x:c r="A5" s="31" t="str">
        <x:v>31-90 days</x:v>
      </x:c>
      <x:c r="B5" s="31" t="str">
        <x:v>Adopt vulnerability remediation SLA and reporting</x:v>
      </x:c>
      <x:c r="C5" s="31" t="str">
        <x:v>ID.RA-01</x:v>
      </x:c>
      <x:c r="D5" s="31" t="str">
        <x:v>Security Engineer</x:v>
      </x:c>
      <x:c r="E5" s="31" t="str">
        <x:v>High</x:v>
      </x:c>
      <x:c r="F5" s="31" t="str">
        <x:v>SLA policy, vulnerability aging report</x:v>
      </x:c>
      <x:c r="G5" s="31" t="str">
        <x:v>Overdue critical vulnerabilities reported monthly</x:v>
      </x:c>
      <x:c r="H5" s="31" t="str">
        <x:v>A scanner is only useful if findings are governed</x:v>
      </x:c>
    </x:row>
    <x:row r="6">
      <x:c r="A6" s="31" t="str">
        <x:v>31-90 days</x:v>
      </x:c>
      <x:c r="B6" s="31" t="str">
        <x:v>Map critical log sources and alert owners</x:v>
      </x:c>
      <x:c r="C6" s="31" t="str">
        <x:v>DE.CM-01</x:v>
      </x:c>
      <x:c r="D6" s="31" t="str">
        <x:v>Security Operations</x:v>
      </x:c>
      <x:c r="E6" s="31" t="str">
        <x:v>High</x:v>
      </x:c>
      <x:c r="F6" s="31" t="str">
        <x:v>Log source inventory, alert routing matrix</x:v>
      </x:c>
      <x:c r="G6" s="31" t="str">
        <x:v>Critical alerts have named owner</x:v>
      </x:c>
      <x:c r="H6" s="31" t="str">
        <x:v>Detection maturity depends on coverage and ownership</x:v>
      </x:c>
    </x:row>
    <x:row r="7">
      <x:c r="A7" s="31" t="str">
        <x:v>3-6 months</x:v>
      </x:c>
      <x:c r="B7" s="31" t="str">
        <x:v>Conduct incident-response tabletop</x:v>
      </x:c>
      <x:c r="C7" s="31" t="str">
        <x:v>RS.MA-01, RS.CO-03</x:v>
      </x:c>
      <x:c r="D7" s="31" t="str">
        <x:v>CISO / Legal</x:v>
      </x:c>
      <x:c r="E7" s="31" t="str">
        <x:v>High</x:v>
      </x:c>
      <x:c r="F7" s="31" t="str">
        <x:v>Exercise agenda, participant list, lessons learned</x:v>
      </x:c>
      <x:c r="G7" s="31" t="str">
        <x:v>Corrective actions opened and tracked</x:v>
      </x:c>
      <x:c r="H7" s="31" t="str">
        <x:v>Plans must be exercised to prove readiness</x:v>
      </x:c>
    </x:row>
    <x:row r="8">
      <x:c r="A8" s="31" t="str">
        <x:v>3-6 months</x:v>
      </x:c>
      <x:c r="B8" s="31" t="str">
        <x:v>Perform backup restoration and DR test</x:v>
      </x:c>
      <x:c r="C8" s="31" t="str">
        <x:v>RC.RP-01</x:v>
      </x:c>
      <x:c r="D8" s="31" t="str">
        <x:v>Infrastructure</x:v>
      </x:c>
      <x:c r="E8" s="31" t="str">
        <x:v>High</x:v>
      </x:c>
      <x:c r="F8" s="31" t="str">
        <x:v>Restore test record, RTO/RPO results</x:v>
      </x:c>
      <x:c r="G8" s="31" t="str">
        <x:v>Recovery objective met or gap documented</x:v>
      </x:c>
      <x:c r="H8" s="31" t="str">
        <x:v>Recovery is not proven until tested</x:v>
      </x:c>
    </x:row>
    <x:row r="9">
      <x:c r="A9" s="32" t="str">
        <x:v>6-12 months</x:v>
      </x:c>
      <x:c r="B9" s="32" t="str">
        <x:v>Build SOC 2 readiness evidence inventory</x:v>
      </x:c>
      <x:c r="C9" s="32" t="str">
        <x:v>GV.RR-02, ID.IM-02</x:v>
      </x:c>
      <x:c r="D9" s="32" t="str">
        <x:v>GRC Lead</x:v>
      </x:c>
      <x:c r="E9" s="32" t="str">
        <x:v>Medium</x:v>
      </x:c>
      <x:c r="F9" s="32" t="str">
        <x:v>Evidence tracker, owner assignments</x:v>
      </x:c>
      <x:c r="G9" s="32" t="str">
        <x:v>Evidence owners and review cadence established</x:v>
      </x:c>
      <x:c r="H9" s="32" t="str">
        <x:v>CSF gap work feeds audit readiness</x:v>
      </x:c>
    </x:row>
  </x:sheetData>
  <x:conditionalFormatting sqref="E2:E9">
    <x:cfRule type="containsText" dxfId="16" priority="1" operator="containsText" text="Critical"/>
    <x:cfRule type="containsText" dxfId="17" priority="2" operator="containsText" text="High"/>
    <x:cfRule type="containsText" dxfId="18" priority="3" operator="containsText" text="Medium"/>
    <x:cfRule type="containsText" dxfId="19" priority="4" operator="containsText" text="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42" hidden="0" customWidth="1"/>
  </x:cols>
  <x:sheetData>
    <x:row r="1">
      <x:c r="A1" s="27" t="str">
        <x:v>Reference</x:v>
      </x:c>
      <x:c r="B1" s="28" t="str">
        <x:v>URL</x:v>
      </x:c>
      <x:c r="C1" s="29" t="str">
        <x:v>Use in Workbook</x:v>
      </x:c>
    </x:row>
    <x:row r="2">
      <x:c r="A2" s="30" t="str">
        <x:v>NIST CSF 2.0</x:v>
      </x:c>
      <x:c r="B2" s="30" t="str">
        <x:v>https://www.nist.gov/cyberframework</x:v>
      </x:c>
      <x:c r="C2" s="30" t="str">
        <x:v>Primary program framework and functions</x:v>
      </x:c>
    </x:row>
    <x:row r="3">
      <x:c r="A3" s="31" t="str">
        <x:v>NIST SP 800-30 Rev. 1</x:v>
      </x:c>
      <x:c r="B3" s="31" t="str">
        <x:v>https://csrc.nist.gov/pubs/sp/800/30/r1/final</x:v>
      </x:c>
      <x:c r="C3" s="31" t="str">
        <x:v>Risk-assessment methodology</x:v>
      </x:c>
    </x:row>
    <x:row r="4">
      <x:c r="A4" s="31" t="str">
        <x:v>NIST IR 8286 Rev. 1</x:v>
      </x:c>
      <x:c r="B4" s="31" t="str">
        <x:v>https://csrc.nist.gov/pubs/ir/8286/r1/final</x:v>
      </x:c>
      <x:c r="C4" s="31" t="str">
        <x:v>Cybersecurity risk integration with ERM</x:v>
      </x:c>
    </x:row>
    <x:row r="5">
      <x:c r="A5" s="31" t="str">
        <x:v>NIST IR 8286A Rev. 1</x:v>
      </x:c>
      <x:c r="B5" s="31" t="str">
        <x:v>https://csrc.nist.gov/pubs/ir/8286/a/r1/final</x:v>
      </x:c>
      <x:c r="C5" s="31" t="str">
        <x:v>Risk identification and estimation for ERM</x:v>
      </x:c>
    </x:row>
    <x:row r="6">
      <x:c r="A6" s="31" t="str">
        <x:v>NIST IR 8286C Rev. 1</x:v>
      </x:c>
      <x:c r="B6" s="31" t="str">
        <x:v>https://csrc.nist.gov/pubs/ir/8286/c/r1/final</x:v>
      </x:c>
      <x:c r="C6" s="31" t="str">
        <x:v>Risk staging and governance oversight</x:v>
      </x:c>
    </x:row>
    <x:row r="7">
      <x:c r="A7" s="31" t="str">
        <x:v>NIST SP 1308</x:v>
      </x:c>
      <x:c r="B7" s="31" t="str">
        <x:v>https://csrc.nist.gov/pubs/sp/1308/final</x:v>
      </x:c>
      <x:c r="C7" s="31" t="str">
        <x:v>CSF 2.0, ERM, and workforce management</x:v>
      </x:c>
    </x:row>
    <x:row r="8">
      <x:c r="A8" s="31" t="str">
        <x:v>NIST SP 800-53 Rev. 5 Release 5.2.0</x:v>
      </x:c>
      <x:c r="B8" s="31" t="str">
        <x:v>https://csrc.nist.gov/News/2025/nist-releases-revision-to-sp-800-53-controls</x:v>
      </x:c>
      <x:c r="C8" s="31" t="str">
        <x:v>Control catalog reference</x:v>
      </x:c>
    </x:row>
    <x:row r="9">
      <x:c r="A9" s="31" t="str">
        <x:v>NIST SP 800-53A Rev. 5</x:v>
      </x:c>
      <x:c r="B9" s="31" t="str">
        <x:v>https://csrc.nist.gov/pubs/sp/800/53/a/r5/final</x:v>
      </x:c>
      <x:c r="C9" s="31" t="str">
        <x:v>Control assessment reference</x:v>
      </x:c>
    </x:row>
    <x:row r="10">
      <x:c r="A10" s="31" t="str">
        <x:v>NIST SP 800-161 Rev. 1 Update 1</x:v>
      </x:c>
      <x:c r="B10" s="31" t="str">
        <x:v>https://csrc.nist.gov/pubs/sp/800/161/r1/upd1/final</x:v>
      </x:c>
      <x:c r="C10" s="31" t="str">
        <x:v>Supply-chain risk reference</x:v>
      </x:c>
    </x:row>
    <x:row r="11">
      <x:c r="A11" s="31" t="str">
        <x:v>CIS Controls v8.1</x:v>
      </x:c>
      <x:c r="B11" s="31" t="str">
        <x:v>https://www.cisecurity.org/controls/v8-1</x:v>
      </x:c>
      <x:c r="C11" s="31" t="str">
        <x:v>Prioritized safeguards</x:v>
      </x:c>
    </x:row>
    <x:row r="12">
      <x:c r="A12" s="31" t="str">
        <x:v>ISO/IEC 27001:2022/Amd 1:2024</x:v>
      </x:c>
      <x:c r="B12" s="31" t="str">
        <x:v>https://www.iso.org/standard/88435.html</x:v>
      </x:c>
      <x:c r="C12" s="31" t="str">
        <x:v>ISMS requirements</x:v>
      </x:c>
    </x:row>
    <x:row r="13">
      <x:c r="A13" s="31" t="str">
        <x:v>ISO/IEC 27002:2022</x:v>
      </x:c>
      <x:c r="B13" s="31" t="str">
        <x:v>https://www.iso.org/standard/75652.html</x:v>
      </x:c>
      <x:c r="C13" s="31" t="str">
        <x:v>Security control guidance</x:v>
      </x:c>
    </x:row>
    <x:row r="14">
      <x:c r="A14" s="31" t="str">
        <x:v>AICPA TSC revised points of focus 2022</x:v>
      </x:c>
      <x:c r="B14" s="31" t="str">
        <x:v>https://www.aicpa-cima.com/resources/download/2017-trust-services-criteria-with-revised-points-of-focus-2022</x:v>
      </x:c>
      <x:c r="C14" s="31" t="str">
        <x:v>SOC 2 criteria reference</x:v>
      </x:c>
    </x:row>
    <x:row r="15">
      <x:c r="A15" s="31" t="str">
        <x:v>NIST SP 800-61 Rev. 3</x:v>
      </x:c>
      <x:c r="B15" s="31" t="str">
        <x:v>https://csrc.nist.gov/pubs/sp/800/61/r3/final</x:v>
      </x:c>
      <x:c r="C15" s="31" t="str">
        <x:v>Incident response</x:v>
      </x:c>
    </x:row>
    <x:row r="16">
      <x:c r="A16" s="31" t="str">
        <x:v>NIST SP 800-171 Rev. 3</x:v>
      </x:c>
      <x:c r="B16" s="31" t="str">
        <x:v>https://csrc.nist.gov/pubs/sp/800/171/r3/final</x:v>
      </x:c>
      <x:c r="C16" s="31" t="str">
        <x:v>CUI reference where relevant</x:v>
      </x:c>
    </x:row>
    <x:row r="17">
      <x:c r="A17" s="31" t="str">
        <x:v>ISO/IEC 27017:2026</x:v>
      </x:c>
      <x:c r="B17" s="31" t="str">
        <x:v>https://www.iso.org/standard/43757.html</x:v>
      </x:c>
      <x:c r="C17" s="31" t="str">
        <x:v>Cloud-specific control guidance</x:v>
      </x:c>
    </x:row>
    <x:row r="18">
      <x:c r="A18" s="32" t="str">
        <x:v>PCI DSS v4.0.1</x:v>
      </x:c>
      <x:c r="B18" s="32" t="str">
        <x:v>https://www.pcisecuritystandards.org/document_library/</x:v>
      </x:c>
      <x:c r="C18" s="32" t="str">
        <x:v>Payment-card reference where relevant</x:v>
      </x:c>
    </x:row>
  </x:sheetData>
  <x:pageMargins left="0.7" right="0.7" top="0.75" bottom="0.75" header="0.3" footer="0.3"/>
</x:worksheet>
</file>