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350006c37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5fcdaf29a1b42f5"/>
    <x:sheet xmlns:r="http://schemas.openxmlformats.org/officeDocument/2006/relationships" name="Control Matrix" sheetId="2" r:id="R1938cc3baad744cc"/>
    <x:sheet xmlns:r="http://schemas.openxmlformats.org/officeDocument/2006/relationships" name="PBC Tracker" sheetId="3" r:id="R92b85bf4584e472d"/>
    <x:sheet xmlns:r="http://schemas.openxmlformats.org/officeDocument/2006/relationships" name="Audit Findings" sheetId="4" r:id="R696ce8ac38e94b0d"/>
    <x:sheet xmlns:r="http://schemas.openxmlformats.org/officeDocument/2006/relationships" name="Remediation Tracker" sheetId="5" r:id="R32519e259a1c491a"/>
    <x:sheet xmlns:r="http://schemas.openxmlformats.org/officeDocument/2006/relationships" name="Readiness Report" sheetId="6" r:id="Ra3894c84fe634c9d"/>
    <x:sheet xmlns:r="http://schemas.openxmlformats.org/officeDocument/2006/relationships" name="References" sheetId="7" r:id="R0867a9d44582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0FE"/>
      </x:patternFill>
    </x:fill>
  </x:fills>
  <x:borders count="16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6"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f65aab39d4e03" /><Relationship Type="http://schemas.openxmlformats.org/officeDocument/2006/relationships/theme" Target="/xl/theme/theme1.xml" Id="Rccb6edf5aeff4e72" /><Relationship Type="http://schemas.openxmlformats.org/officeDocument/2006/relationships/sharedStrings" Target="/xl/sharedStrings.xml" Id="Rcd6255254b924bd7" /><Relationship Type="http://schemas.openxmlformats.org/officeDocument/2006/relationships/worksheet" Target="/xl/worksheets/sheet1.xml" Id="R65fcdaf29a1b42f5" /><Relationship Type="http://schemas.openxmlformats.org/officeDocument/2006/relationships/worksheet" Target="/xl/worksheets/sheet2.xml" Id="R1938cc3baad744cc" /><Relationship Type="http://schemas.openxmlformats.org/officeDocument/2006/relationships/worksheet" Target="/xl/worksheets/sheet3.xml" Id="R92b85bf4584e472d" /><Relationship Type="http://schemas.openxmlformats.org/officeDocument/2006/relationships/worksheet" Target="/xl/worksheets/sheet4.xml" Id="R696ce8ac38e94b0d" /><Relationship Type="http://schemas.openxmlformats.org/officeDocument/2006/relationships/worksheet" Target="/xl/worksheets/sheet5.xml" Id="R32519e259a1c491a" /><Relationship Type="http://schemas.openxmlformats.org/officeDocument/2006/relationships/worksheet" Target="/xl/worksheets/sheet6.xml" Id="Ra3894c84fe634c9d" /><Relationship Type="http://schemas.openxmlformats.org/officeDocument/2006/relationships/worksheet" Target="/xl/worksheets/sheet7.xml" Id="R0867a9d44582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" hidden="0" customWidth="1"/>
    <x:col min="4" max="4" width="26" hidden="0" customWidth="1"/>
    <x:col min="5" max="5" width="12" hidden="0" customWidth="1"/>
    <x:col min="6" max="6" width="12" hidden="0" customWidth="1"/>
    <x:col min="7" max="7" width="14" hidden="0" customWidth="1"/>
    <x:col min="8" max="8" width="48" hidden="0" customWidth="1"/>
  </x:cols>
  <x:sheetData>
    <x:row r="1">
      <x:c r="A1" s="4" t="str">
        <x:v>Northbridge - SOC 2 Readiness and Evidence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Controls</x:v>
      </x:c>
      <x:c r="B3" s="19" t="n">
        <x:f>COUNTA('Control Matrix'!A2:A23)</x:f>
        <x:v>22</x:v>
      </x:c>
      <x:c r="D3" s="27" t="str">
        <x:v>Readiness Area</x:v>
      </x:c>
      <x:c r="E3" s="28" t="str">
        <x:v>Ready</x:v>
      </x:c>
      <x:c r="F3" s="28" t="str">
        <x:v>Partial</x:v>
      </x:c>
      <x:c r="G3" s="28" t="str">
        <x:v>Not Ready</x:v>
      </x:c>
      <x:c r="H3" s="29" t="str">
        <x:v>Main Issue</x:v>
      </x:c>
    </x:row>
    <x:row r="4">
      <x:c r="A4" s="20" t="str">
        <x:v>Ready Controls</x:v>
      </x:c>
      <x:c r="B4" s="21" t="n">
        <x:f>COUNTIF('Control Matrix'!G2:G23,"Ready")</x:f>
        <x:v>6</x:v>
      </x:c>
      <x:c r="D4" s="30" t="str">
        <x:v>Access Control</x:v>
      </x:c>
      <x:c r="E4" s="30" t="n">
        <x:v>1</x:v>
      </x:c>
      <x:c r="F4" s="30" t="n">
        <x:v>2</x:v>
      </x:c>
      <x:c r="G4" s="30" t="n">
        <x:v>0</x:v>
      </x:c>
      <x:c r="H4" s="30" t="str">
        <x:v>MFA exceptions and review evidence</x:v>
      </x:c>
    </x:row>
    <x:row r="5">
      <x:c r="A5" s="20" t="str">
        <x:v>Partial Controls</x:v>
      </x:c>
      <x:c r="B5" s="21" t="n">
        <x:f>COUNTIF('Control Matrix'!G2:G23,"Partial")</x:f>
        <x:v>15</x:v>
      </x:c>
      <x:c r="D5" s="31" t="str">
        <x:v>Security Operations</x:v>
      </x:c>
      <x:c r="E5" s="31" t="n">
        <x:v>2</x:v>
      </x:c>
      <x:c r="F5" s="31" t="n">
        <x:v>5</x:v>
      </x:c>
      <x:c r="G5" s="31" t="n">
        <x:v>1</x:v>
      </x:c>
      <x:c r="H5" s="31" t="str">
        <x:v>IR tabletop and vulnerability evidence</x:v>
      </x:c>
    </x:row>
    <x:row r="6">
      <x:c r="A6" s="20" t="str">
        <x:v>Not Ready Controls</x:v>
      </x:c>
      <x:c r="B6" s="21" t="n">
        <x:f>COUNTIF('Control Matrix'!G2:G23,"Not Ready")</x:f>
        <x:v>1</x:v>
      </x:c>
      <x:c r="D6" s="31" t="str">
        <x:v>Availability</x:v>
      </x:c>
      <x:c r="E6" s="31" t="n">
        <x:v>1</x:v>
      </x:c>
      <x:c r="F6" s="31" t="n">
        <x:v>1</x:v>
      </x:c>
      <x:c r="G6" s="31" t="n">
        <x:v>0</x:v>
      </x:c>
      <x:c r="H6" s="31" t="str">
        <x:v>Restore evidence</x:v>
      </x:c>
    </x:row>
    <x:row r="7">
      <x:c r="A7" s="20" t="str">
        <x:v>Open Findings</x:v>
      </x:c>
      <x:c r="B7" s="21" t="n">
        <x:f>COUNTIF('Audit Findings'!I2:I6,"Open")</x:f>
        <x:v>3</x:v>
      </x:c>
      <x:c r="D7" s="31" t="str">
        <x:v>Vendor / Cloud</x:v>
      </x:c>
      <x:c r="E7" s="31" t="n">
        <x:v>0</x:v>
      </x:c>
      <x:c r="F7" s="31" t="n">
        <x:v>2</x:v>
      </x:c>
      <x:c r="G7" s="31" t="n">
        <x:v>0</x:v>
      </x:c>
      <x:c r="H7" s="31" t="str">
        <x:v>Critical vendor and cloud exception review</x:v>
      </x:c>
    </x:row>
    <x:row r="8">
      <x:c r="A8" s="20" t="str">
        <x:v>Readiness</x:v>
      </x:c>
      <x:c r="B8" s="24" t="n">
        <x:f>COUNTIF('Control Matrix'!G2:G23,"Ready")/COUNTA('Control Matrix'!A2:A23)</x:f>
        <x:v>0.2727272727272727</x:v>
      </x:c>
      <x:c r="D8" s="32" t="str">
        <x:v>Governance / Evidence</x:v>
      </x:c>
      <x:c r="E8" s="32" t="n">
        <x:v>2</x:v>
      </x:c>
      <x:c r="F8" s="32" t="n">
        <x:v>7</x:v>
      </x:c>
      <x:c r="G8" s="32" t="n">
        <x:v>0</x:v>
      </x:c>
      <x:c r="H8" s="32" t="str">
        <x:v>Evidence ownership and policy cadence</x:v>
      </x:c>
    </x:row>
    <x:row r="9">
      <x:c r="A9" s="22" t="str">
        <x:v>Assessment Date</x:v>
      </x:c>
      <x:c r="B9" s="25" t="n">
        <x:v>46247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22" hidden="0" customWidth="1"/>
    <x:col min="5" max="5" width="22" hidden="0" customWidth="1"/>
    <x:col min="6" max="6" width="16" hidden="0" customWidth="1"/>
    <x:col min="7" max="7" width="18" hidden="0" customWidth="1"/>
    <x:col min="8" max="8" width="44" hidden="0" customWidth="1"/>
    <x:col min="9" max="9" width="14" hidden="0" customWidth="1"/>
  </x:cols>
  <x:sheetData>
    <x:row r="1">
      <x:c r="A1" s="27" t="str">
        <x:v>Control ID</x:v>
      </x:c>
      <x:c r="B1" s="28" t="str">
        <x:v>Control Name</x:v>
      </x:c>
      <x:c r="C1" s="28" t="str">
        <x:v>TSC Area</x:v>
      </x:c>
      <x:c r="D1" s="28" t="str">
        <x:v>Trust Service Category</x:v>
      </x:c>
      <x:c r="E1" s="28" t="str">
        <x:v>Owner</x:v>
      </x:c>
      <x:c r="F1" s="28" t="str">
        <x:v>Frequency</x:v>
      </x:c>
      <x:c r="G1" s="28" t="str">
        <x:v>Readiness Status</x:v>
      </x:c>
      <x:c r="H1" s="28" t="str">
        <x:v>Evidence Needed</x:v>
      </x:c>
      <x:c r="I1" s="29" t="str">
        <x:v>Risk Tier</x:v>
      </x:c>
    </x:row>
    <x:row r="2">
      <x:c r="A2" s="30" t="str">
        <x:v>AC-01</x:v>
      </x:c>
      <x:c r="B2" s="30" t="str">
        <x:v>MFA Enforcement</x:v>
      </x:c>
      <x:c r="C2" s="30" t="str">
        <x:v>CC6</x:v>
      </x:c>
      <x:c r="D2" s="30" t="str">
        <x:v>Security</x:v>
      </x:c>
      <x:c r="E2" s="30" t="str">
        <x:v>VP of IT</x:v>
      </x:c>
      <x:c r="F2" s="30" t="str">
        <x:v>Continuous</x:v>
      </x:c>
      <x:c r="G2" s="30" t="str">
        <x:v>Partial</x:v>
      </x:c>
      <x:c r="H2" s="30" t="str">
        <x:v>MFA configuration and enrollment report</x:v>
      </x:c>
      <x:c r="I2" s="30" t="str">
        <x:v>High</x:v>
      </x:c>
    </x:row>
    <x:row r="3">
      <x:c r="A3" s="31" t="str">
        <x:v>AC-02</x:v>
      </x:c>
      <x:c r="B3" s="31" t="str">
        <x:v>Access Reviews</x:v>
      </x:c>
      <x:c r="C3" s="31" t="str">
        <x:v>CC6</x:v>
      </x:c>
      <x:c r="D3" s="31" t="str">
        <x:v>Security</x:v>
      </x:c>
      <x:c r="E3" s="31" t="str">
        <x:v>GRC Lead</x:v>
      </x:c>
      <x:c r="F3" s="31" t="str">
        <x:v>Quarterly</x:v>
      </x:c>
      <x:c r="G3" s="31" t="str">
        <x:v>Partial</x:v>
      </x:c>
      <x:c r="H3" s="31" t="str">
        <x:v>Q access review evidence</x:v>
      </x:c>
      <x:c r="I3" s="31" t="str">
        <x:v>Medium</x:v>
      </x:c>
    </x:row>
    <x:row r="4">
      <x:c r="A4" s="31" t="str">
        <x:v>AC-03</x:v>
      </x:c>
      <x:c r="B4" s="31" t="str">
        <x:v>Terminated User Removal</x:v>
      </x:c>
      <x:c r="C4" s="31" t="str">
        <x:v>CC6</x:v>
      </x:c>
      <x:c r="D4" s="31" t="str">
        <x:v>Security</x:v>
      </x:c>
      <x:c r="E4" s="31" t="str">
        <x:v>People Ops</x:v>
      </x:c>
      <x:c r="F4" s="31" t="str">
        <x:v>Per termination</x:v>
      </x:c>
      <x:c r="G4" s="31" t="str">
        <x:v>Ready</x:v>
      </x:c>
      <x:c r="H4" s="31" t="str">
        <x:v>Termination ticket and deactivation log</x:v>
      </x:c>
      <x:c r="I4" s="31" t="str">
        <x:v>Medium</x:v>
      </x:c>
    </x:row>
    <x:row r="5">
      <x:c r="A5" s="31" t="str">
        <x:v>VM-01</x:v>
      </x:c>
      <x:c r="B5" s="31" t="str">
        <x:v>Vulnerability Scanning</x:v>
      </x:c>
      <x:c r="C5" s="31" t="str">
        <x:v>CC7</x:v>
      </x:c>
      <x:c r="D5" s="31" t="str">
        <x:v>Security</x:v>
      </x:c>
      <x:c r="E5" s="31" t="str">
        <x:v>Security Engineer</x:v>
      </x:c>
      <x:c r="F5" s="31" t="str">
        <x:v>Monthly</x:v>
      </x:c>
      <x:c r="G5" s="31" t="str">
        <x:v>Partial</x:v>
      </x:c>
      <x:c r="H5" s="31" t="str">
        <x:v>Monthly scan report</x:v>
      </x:c>
      <x:c r="I5" s="31" t="str">
        <x:v>Medium</x:v>
      </x:c>
    </x:row>
    <x:row r="6">
      <x:c r="A6" s="31" t="str">
        <x:v>VM-02</x:v>
      </x:c>
      <x:c r="B6" s="31" t="str">
        <x:v>Critical Vulnerability SLA</x:v>
      </x:c>
      <x:c r="C6" s="31" t="str">
        <x:v>CC7</x:v>
      </x:c>
      <x:c r="D6" s="31" t="str">
        <x:v>Security</x:v>
      </x:c>
      <x:c r="E6" s="31" t="str">
        <x:v>Security Engineer</x:v>
      </x:c>
      <x:c r="F6" s="31" t="str">
        <x:v>Monthly</x:v>
      </x:c>
      <x:c r="G6" s="31" t="str">
        <x:v>Partial</x:v>
      </x:c>
      <x:c r="H6" s="31" t="str">
        <x:v>Aging report and exceptions</x:v>
      </x:c>
      <x:c r="I6" s="31" t="str">
        <x:v>Medium</x:v>
      </x:c>
    </x:row>
    <x:row r="7">
      <x:c r="A7" s="31" t="str">
        <x:v>LOG-01</x:v>
      </x:c>
      <x:c r="B7" s="31" t="str">
        <x:v>Security Logging</x:v>
      </x:c>
      <x:c r="C7" s="31" t="str">
        <x:v>CC7</x:v>
      </x:c>
      <x:c r="D7" s="31" t="str">
        <x:v>Security</x:v>
      </x:c>
      <x:c r="E7" s="31" t="str">
        <x:v>Security Ops</x:v>
      </x:c>
      <x:c r="F7" s="31" t="str">
        <x:v>Continuous</x:v>
      </x:c>
      <x:c r="G7" s="31" t="str">
        <x:v>Partial</x:v>
      </x:c>
      <x:c r="H7" s="31" t="str">
        <x:v>Log source inventory</x:v>
      </x:c>
      <x:c r="I7" s="31" t="str">
        <x:v>Medium</x:v>
      </x:c>
    </x:row>
    <x:row r="8">
      <x:c r="A8" s="31" t="str">
        <x:v>IR-01</x:v>
      </x:c>
      <x:c r="B8" s="31" t="str">
        <x:v>Incident Response Plan</x:v>
      </x:c>
      <x:c r="C8" s="31" t="str">
        <x:v>CC7</x:v>
      </x:c>
      <x:c r="D8" s="31" t="str">
        <x:v>Security</x:v>
      </x:c>
      <x:c r="E8" s="31" t="str">
        <x:v>CISO</x:v>
      </x:c>
      <x:c r="F8" s="31" t="str">
        <x:v>Annual</x:v>
      </x:c>
      <x:c r="G8" s="31" t="str">
        <x:v>Ready</x:v>
      </x:c>
      <x:c r="H8" s="31" t="str">
        <x:v>Approved IR plan</x:v>
      </x:c>
      <x:c r="I8" s="31" t="str">
        <x:v>Medium</x:v>
      </x:c>
    </x:row>
    <x:row r="9">
      <x:c r="A9" s="31" t="str">
        <x:v>IR-02</x:v>
      </x:c>
      <x:c r="B9" s="31" t="str">
        <x:v>Incident Tabletop</x:v>
      </x:c>
      <x:c r="C9" s="31" t="str">
        <x:v>CC7</x:v>
      </x:c>
      <x:c r="D9" s="31" t="str">
        <x:v>Security</x:v>
      </x:c>
      <x:c r="E9" s="31" t="str">
        <x:v>CISO</x:v>
      </x:c>
      <x:c r="F9" s="31" t="str">
        <x:v>Annual</x:v>
      </x:c>
      <x:c r="G9" s="31" t="str">
        <x:v>Not Ready</x:v>
      </x:c>
      <x:c r="H9" s="31" t="str">
        <x:v>Tabletop evidence</x:v>
      </x:c>
      <x:c r="I9" s="31" t="str">
        <x:v>Medium</x:v>
      </x:c>
    </x:row>
    <x:row r="10">
      <x:c r="A10" s="31" t="str">
        <x:v>BC-01</x:v>
      </x:c>
      <x:c r="B10" s="31" t="str">
        <x:v>Backup Monitoring</x:v>
      </x:c>
      <x:c r="C10" s="31" t="str">
        <x:v>A1</x:v>
      </x:c>
      <x:c r="D10" s="31" t="str">
        <x:v>Availability</x:v>
      </x:c>
      <x:c r="E10" s="31" t="str">
        <x:v>Infrastructure</x:v>
      </x:c>
      <x:c r="F10" s="31" t="str">
        <x:v>Daily</x:v>
      </x:c>
      <x:c r="G10" s="31" t="str">
        <x:v>Ready</x:v>
      </x:c>
      <x:c r="H10" s="31" t="str">
        <x:v>Backup logs</x:v>
      </x:c>
      <x:c r="I10" s="31" t="str">
        <x:v>Medium</x:v>
      </x:c>
    </x:row>
    <x:row r="11">
      <x:c r="A11" s="31" t="str">
        <x:v>BC-02</x:v>
      </x:c>
      <x:c r="B11" s="31" t="str">
        <x:v>Restore Testing</x:v>
      </x:c>
      <x:c r="C11" s="31" t="str">
        <x:v>A1</x:v>
      </x:c>
      <x:c r="D11" s="31" t="str">
        <x:v>Availability</x:v>
      </x:c>
      <x:c r="E11" s="31" t="str">
        <x:v>Infrastructure</x:v>
      </x:c>
      <x:c r="F11" s="31" t="str">
        <x:v>Annual</x:v>
      </x:c>
      <x:c r="G11" s="31" t="str">
        <x:v>Partial</x:v>
      </x:c>
      <x:c r="H11" s="31" t="str">
        <x:v>Restore test record</x:v>
      </x:c>
      <x:c r="I11" s="31" t="str">
        <x:v>Medium</x:v>
      </x:c>
    </x:row>
    <x:row r="12">
      <x:c r="A12" s="31" t="str">
        <x:v>TPRM-01</x:v>
      </x:c>
      <x:c r="B12" s="31" t="str">
        <x:v>Critical Vendor Review</x:v>
      </x:c>
      <x:c r="C12" s="31" t="str">
        <x:v>CC9</x:v>
      </x:c>
      <x:c r="D12" s="31" t="str">
        <x:v>Security</x:v>
      </x:c>
      <x:c r="E12" s="31" t="str">
        <x:v>GRC Lead</x:v>
      </x:c>
      <x:c r="F12" s="31" t="str">
        <x:v>Annual</x:v>
      </x:c>
      <x:c r="G12" s="31" t="str">
        <x:v>Partial</x:v>
      </x:c>
      <x:c r="H12" s="31" t="str">
        <x:v>Vendor review evidence</x:v>
      </x:c>
      <x:c r="I12" s="31" t="str">
        <x:v>High</x:v>
      </x:c>
    </x:row>
    <x:row r="13">
      <x:c r="A13" s="31" t="str">
        <x:v>CHG-01</x:v>
      </x:c>
      <x:c r="B13" s="31" t="str">
        <x:v>Production Change Approval</x:v>
      </x:c>
      <x:c r="C13" s="31" t="str">
        <x:v>CC8</x:v>
      </x:c>
      <x:c r="D13" s="31" t="str">
        <x:v>Security</x:v>
      </x:c>
      <x:c r="E13" s="31" t="str">
        <x:v>Engineering</x:v>
      </x:c>
      <x:c r="F13" s="31" t="str">
        <x:v>Per change</x:v>
      </x:c>
      <x:c r="G13" s="31" t="str">
        <x:v>Ready</x:v>
      </x:c>
      <x:c r="H13" s="31" t="str">
        <x:v>Pull request approvals</x:v>
      </x:c>
      <x:c r="I13" s="31" t="str">
        <x:v>Medium</x:v>
      </x:c>
    </x:row>
    <x:row r="14">
      <x:c r="A14" s="31" t="str">
        <x:v>SEC-01</x:v>
      </x:c>
      <x:c r="B14" s="31" t="str">
        <x:v>Security Awareness Training</x:v>
      </x:c>
      <x:c r="C14" s="31" t="str">
        <x:v>CC2</x:v>
      </x:c>
      <x:c r="D14" s="31" t="str">
        <x:v>Security</x:v>
      </x:c>
      <x:c r="E14" s="31" t="str">
        <x:v>People Ops</x:v>
      </x:c>
      <x:c r="F14" s="31" t="str">
        <x:v>Annual</x:v>
      </x:c>
      <x:c r="G14" s="31" t="str">
        <x:v>Partial</x:v>
      </x:c>
      <x:c r="H14" s="31" t="str">
        <x:v>Training completion report</x:v>
      </x:c>
      <x:c r="I14" s="31" t="str">
        <x:v>Low</x:v>
      </x:c>
    </x:row>
    <x:row r="15">
      <x:c r="A15" s="31" t="str">
        <x:v>POL-01</x:v>
      </x:c>
      <x:c r="B15" s="31" t="str">
        <x:v>Security Policy Review</x:v>
      </x:c>
      <x:c r="C15" s="31" t="str">
        <x:v>CC1</x:v>
      </x:c>
      <x:c r="D15" s="31" t="str">
        <x:v>Security</x:v>
      </x:c>
      <x:c r="E15" s="31" t="str">
        <x:v>GRC Lead</x:v>
      </x:c>
      <x:c r="F15" s="31" t="str">
        <x:v>Annual</x:v>
      </x:c>
      <x:c r="G15" s="31" t="str">
        <x:v>Partial</x:v>
      </x:c>
      <x:c r="H15" s="31" t="str">
        <x:v>Approved policies</x:v>
      </x:c>
      <x:c r="I15" s="31" t="str">
        <x:v>Medium</x:v>
      </x:c>
    </x:row>
    <x:row r="16">
      <x:c r="A16" s="31" t="str">
        <x:v>DATA-01</x:v>
      </x:c>
      <x:c r="B16" s="31" t="str">
        <x:v>Data Retention</x:v>
      </x:c>
      <x:c r="C16" s="31" t="str">
        <x:v>C1</x:v>
      </x:c>
      <x:c r="D16" s="31" t="str">
        <x:v>Confidentiality</x:v>
      </x:c>
      <x:c r="E16" s="31" t="str">
        <x:v>Legal</x:v>
      </x:c>
      <x:c r="F16" s="31" t="str">
        <x:v>Annual</x:v>
      </x:c>
      <x:c r="G16" s="31" t="str">
        <x:v>Partial</x:v>
      </x:c>
      <x:c r="H16" s="31" t="str">
        <x:v>Retention matrix</x:v>
      </x:c>
      <x:c r="I16" s="31" t="str">
        <x:v>Medium</x:v>
      </x:c>
    </x:row>
    <x:row r="17">
      <x:c r="A17" s="31" t="str">
        <x:v>CLD-01</x:v>
      </x:c>
      <x:c r="B17" s="31" t="str">
        <x:v>Cloud Configuration Monitoring</x:v>
      </x:c>
      <x:c r="C17" s="31" t="str">
        <x:v>CC7</x:v>
      </x:c>
      <x:c r="D17" s="31" t="str">
        <x:v>Security</x:v>
      </x:c>
      <x:c r="E17" s="31" t="str">
        <x:v>Cloud Engineering</x:v>
      </x:c>
      <x:c r="F17" s="31" t="str">
        <x:v>Monthly</x:v>
      </x:c>
      <x:c r="G17" s="31" t="str">
        <x:v>Partial</x:v>
      </x:c>
      <x:c r="H17" s="31" t="str">
        <x:v>Configuration report</x:v>
      </x:c>
      <x:c r="I17" s="31" t="str">
        <x:v>High</x:v>
      </x:c>
    </x:row>
    <x:row r="18">
      <x:c r="A18" s="31" t="str">
        <x:v>HR-01</x:v>
      </x:c>
      <x:c r="B18" s="31" t="str">
        <x:v>Background Checks</x:v>
      </x:c>
      <x:c r="C18" s="31" t="str">
        <x:v>CC1</x:v>
      </x:c>
      <x:c r="D18" s="31" t="str">
        <x:v>Security</x:v>
      </x:c>
      <x:c r="E18" s="31" t="str">
        <x:v>People Ops</x:v>
      </x:c>
      <x:c r="F18" s="31" t="str">
        <x:v>Per hire</x:v>
      </x:c>
      <x:c r="G18" s="31" t="str">
        <x:v>Ready</x:v>
      </x:c>
      <x:c r="H18" s="31" t="str">
        <x:v>Background screening evidence</x:v>
      </x:c>
      <x:c r="I18" s="31" t="str">
        <x:v>Low</x:v>
      </x:c>
    </x:row>
    <x:row r="19">
      <x:c r="A19" s="31" t="str">
        <x:v>PRIV-01</x:v>
      </x:c>
      <x:c r="B19" s="31" t="str">
        <x:v>Privacy Commitments</x:v>
      </x:c>
      <x:c r="C19" s="31" t="str">
        <x:v>P1</x:v>
      </x:c>
      <x:c r="D19" s="31" t="str">
        <x:v>Privacy</x:v>
      </x:c>
      <x:c r="E19" s="31" t="str">
        <x:v>Legal</x:v>
      </x:c>
      <x:c r="F19" s="31" t="str">
        <x:v>Annual</x:v>
      </x:c>
      <x:c r="G19" s="31" t="str">
        <x:v>Partial</x:v>
      </x:c>
      <x:c r="H19" s="31" t="str">
        <x:v>Privacy notice and DPA</x:v>
      </x:c>
      <x:c r="I19" s="31" t="str">
        <x:v>Medium</x:v>
      </x:c>
    </x:row>
    <x:row r="20">
      <x:c r="A20" s="31" t="str">
        <x:v>EVD-01</x:v>
      </x:c>
      <x:c r="B20" s="31" t="str">
        <x:v>Evidence Ownership</x:v>
      </x:c>
      <x:c r="C20" s="31" t="str">
        <x:v>CC3</x:v>
      </x:c>
      <x:c r="D20" s="31" t="str">
        <x:v>Security</x:v>
      </x:c>
      <x:c r="E20" s="31" t="str">
        <x:v>GRC Lead</x:v>
      </x:c>
      <x:c r="F20" s="31" t="str">
        <x:v>Monthly</x:v>
      </x:c>
      <x:c r="G20" s="31" t="str">
        <x:v>Partial</x:v>
      </x:c>
      <x:c r="H20" s="31" t="str">
        <x:v>Evidence owner matrix</x:v>
      </x:c>
      <x:c r="I20" s="31" t="str">
        <x:v>Medium</x:v>
      </x:c>
    </x:row>
    <x:row r="21">
      <x:c r="A21" s="31" t="str">
        <x:v>RISK-01</x:v>
      </x:c>
      <x:c r="B21" s="31" t="str">
        <x:v>Risk Register Review</x:v>
      </x:c>
      <x:c r="C21" s="31" t="str">
        <x:v>CC3</x:v>
      </x:c>
      <x:c r="D21" s="31" t="str">
        <x:v>Security</x:v>
      </x:c>
      <x:c r="E21" s="31" t="str">
        <x:v>CISO</x:v>
      </x:c>
      <x:c r="F21" s="31" t="str">
        <x:v>Quarterly</x:v>
      </x:c>
      <x:c r="G21" s="31" t="str">
        <x:v>Ready</x:v>
      </x:c>
      <x:c r="H21" s="31" t="str">
        <x:v>Risk register review record</x:v>
      </x:c>
      <x:c r="I21" s="31" t="str">
        <x:v>Medium</x:v>
      </x:c>
    </x:row>
    <x:row r="22">
      <x:c r="A22" s="31" t="str">
        <x:v>TRUST-01</x:v>
      </x:c>
      <x:c r="B22" s="31" t="str">
        <x:v>Customer Assurance Responses</x:v>
      </x:c>
      <x:c r="C22" s="31" t="str">
        <x:v>CC2</x:v>
      </x:c>
      <x:c r="D22" s="31" t="str">
        <x:v>Security</x:v>
      </x:c>
      <x:c r="E22" s="31" t="str">
        <x:v>GRC Lead</x:v>
      </x:c>
      <x:c r="F22" s="31" t="str">
        <x:v>As needed</x:v>
      </x:c>
      <x:c r="G22" s="31" t="str">
        <x:v>Partial</x:v>
      </x:c>
      <x:c r="H22" s="31" t="str">
        <x:v>Questionnaire response archive</x:v>
      </x:c>
      <x:c r="I22" s="31" t="str">
        <x:v>Low</x:v>
      </x:c>
    </x:row>
    <x:row r="23">
      <x:c r="A23" s="32" t="str">
        <x:v>MON-01</x:v>
      </x:c>
      <x:c r="B23" s="32" t="str">
        <x:v>Security Metrics Reporting</x:v>
      </x:c>
      <x:c r="C23" s="32" t="str">
        <x:v>CC4</x:v>
      </x:c>
      <x:c r="D23" s="32" t="str">
        <x:v>Security</x:v>
      </x:c>
      <x:c r="E23" s="32" t="str">
        <x:v>CISO</x:v>
      </x:c>
      <x:c r="F23" s="32" t="str">
        <x:v>Quarterly</x:v>
      </x:c>
      <x:c r="G23" s="32" t="str">
        <x:v>Partial</x:v>
      </x:c>
      <x:c r="H23" s="32" t="str">
        <x:v>Security metrics dashboard</x:v>
      </x:c>
      <x:c r="I23" s="32" t="str">
        <x:v>Medium</x:v>
      </x:c>
    </x:row>
  </x:sheetData>
  <x:conditionalFormatting sqref="G2:G23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  <x:cfRule type="containsText" dxfId="3" priority="4" operator="containsText" text="Pass"/>
    <x:cfRule type="containsText" dxfId="4" priority="5" operator="containsText" text="Exception"/>
    <x:cfRule type="containsText" dxfId="5" priority="6" operator="containsText" text="Partial"/>
  </x:conditionalFormatting>
  <x:conditionalFormatting sqref="I2:I23">
    <x:cfRule type="containsText" dxfId="6" priority="7" operator="containsText" text="High"/>
    <x:cfRule type="containsText" dxfId="7" priority="8" operator="containsText" text="Medium"/>
    <x:cfRule type="containsText" dxfId="8" priority="9" operator="containsText" text="Low"/>
    <x:cfRule type="containsText" dxfId="9" priority="10" operator="containsText" text="Pass"/>
    <x:cfRule type="containsText" dxfId="10" priority="11" operator="containsText" text="Exception"/>
    <x:cfRule type="containsText" dxfId="11" priority="12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2" hidden="0" customWidth="1"/>
    <x:col min="5" max="5" width="14" hidden="0" customWidth="1"/>
    <x:col min="6" max="6" width="16" hidden="0" customWidth="1"/>
    <x:col min="7" max="7" width="52" hidden="0" customWidth="1"/>
    <x:col min="8" max="8" width="14" hidden="0" customWidth="1"/>
  </x:cols>
  <x:sheetData>
    <x:row r="1">
      <x:c r="A1" s="27" t="str">
        <x:v>Request ID</x:v>
      </x:c>
      <x:c r="B1" s="28" t="str">
        <x:v>Control ID</x:v>
      </x:c>
      <x:c r="C1" s="28" t="str">
        <x:v>Evidence Requested</x:v>
      </x:c>
      <x:c r="D1" s="28" t="str">
        <x:v>Owner</x:v>
      </x:c>
      <x:c r="E1" s="28" t="str">
        <x:v>Due Date</x:v>
      </x:c>
      <x:c r="F1" s="28" t="str">
        <x:v>Status</x:v>
      </x:c>
      <x:c r="G1" s="28" t="str">
        <x:v>Auditor-Style Comment</x:v>
      </x:c>
      <x:c r="H1" s="29" t="str">
        <x:v>Priority</x:v>
      </x:c>
    </x:row>
    <x:row r="2">
      <x:c r="A2" s="30" t="str">
        <x:v>PBC-001</x:v>
      </x:c>
      <x:c r="B2" s="30" t="str">
        <x:v>AC-01</x:v>
      </x:c>
      <x:c r="C2" s="30" t="str">
        <x:v>MFA configuration export</x:v>
      </x:c>
      <x:c r="D2" s="30" t="str">
        <x:v>VP of IT</x:v>
      </x:c>
      <x:c r="E2" s="33" t="n">
        <x:v>46280</x:v>
      </x:c>
      <x:c r="F2" s="30" t="str">
        <x:v>Received</x:v>
      </x:c>
      <x:c r="G2" s="30" t="str">
        <x:v>Covers employees; contractor exceptions need follow-up</x:v>
      </x:c>
      <x:c r="H2" s="30" t="str">
        <x:v>High</x:v>
      </x:c>
    </x:row>
    <x:row r="3">
      <x:c r="A3" s="31" t="str">
        <x:v>PBC-002</x:v>
      </x:c>
      <x:c r="B3" s="31" t="str">
        <x:v>AC-02</x:v>
      </x:c>
      <x:c r="C3" s="31" t="str">
        <x:v>Q2 access review evidence</x:v>
      </x:c>
      <x:c r="D3" s="31" t="str">
        <x:v>GRC Lead</x:v>
      </x:c>
      <x:c r="E3" s="34" t="n">
        <x:v>46285</x:v>
      </x:c>
      <x:c r="F3" s="31" t="str">
        <x:v>Partial</x:v>
      </x:c>
      <x:c r="G3" s="31" t="str">
        <x:v>Missing approval timestamp</x:v>
      </x:c>
      <x:c r="H3" s="31" t="str">
        <x:v>Medium</x:v>
      </x:c>
    </x:row>
    <x:row r="4">
      <x:c r="A4" s="31" t="str">
        <x:v>PBC-003</x:v>
      </x:c>
      <x:c r="B4" s="31" t="str">
        <x:v>VM-01</x:v>
      </x:c>
      <x:c r="C4" s="31" t="str">
        <x:v>Monthly vulnerability scan reports</x:v>
      </x:c>
      <x:c r="D4" s="31" t="str">
        <x:v>Security Engineer</x:v>
      </x:c>
      <x:c r="E4" s="34" t="n">
        <x:v>46290</x:v>
      </x:c>
      <x:c r="F4" s="31" t="str">
        <x:v>Received</x:v>
      </x:c>
      <x:c r="G4" s="31" t="str">
        <x:v>Need aging summary</x:v>
      </x:c>
      <x:c r="H4" s="31" t="str">
        <x:v>Medium</x:v>
      </x:c>
    </x:row>
    <x:row r="5">
      <x:c r="A5" s="31" t="str">
        <x:v>PBC-004</x:v>
      </x:c>
      <x:c r="B5" s="31" t="str">
        <x:v>IR-02</x:v>
      </x:c>
      <x:c r="C5" s="31" t="str">
        <x:v>Incident tabletop evidence</x:v>
      </x:c>
      <x:c r="D5" s="31" t="str">
        <x:v>CISO</x:v>
      </x:c>
      <x:c r="E5" s="34" t="n">
        <x:v>46310</x:v>
      </x:c>
      <x:c r="F5" s="31" t="str">
        <x:v>Missing</x:v>
      </x:c>
      <x:c r="G5" s="31" t="str">
        <x:v>No current-year exercise</x:v>
      </x:c>
      <x:c r="H5" s="31" t="str">
        <x:v>Medium</x:v>
      </x:c>
    </x:row>
    <x:row r="6">
      <x:c r="A6" s="31" t="str">
        <x:v>PBC-005</x:v>
      </x:c>
      <x:c r="B6" s="31" t="str">
        <x:v>BC-02</x:v>
      </x:c>
      <x:c r="C6" s="31" t="str">
        <x:v>Backup restoration test</x:v>
      </x:c>
      <x:c r="D6" s="31" t="str">
        <x:v>Infrastructure</x:v>
      </x:c>
      <x:c r="E6" s="34" t="n">
        <x:v>46326</x:v>
      </x:c>
      <x:c r="F6" s="31" t="str">
        <x:v>Partial</x:v>
      </x:c>
      <x:c r="G6" s="31" t="str">
        <x:v>Restore test scheduled</x:v>
      </x:c>
      <x:c r="H6" s="31" t="str">
        <x:v>Medium</x:v>
      </x:c>
    </x:row>
    <x:row r="7">
      <x:c r="A7" s="31" t="str">
        <x:v>PBC-006</x:v>
      </x:c>
      <x:c r="B7" s="31" t="str">
        <x:v>TPRM-01</x:v>
      </x:c>
      <x:c r="C7" s="31" t="str">
        <x:v>Critical vendor review evidence</x:v>
      </x:c>
      <x:c r="D7" s="31" t="str">
        <x:v>GRC Lead</x:v>
      </x:c>
      <x:c r="E7" s="34" t="n">
        <x:v>46295</x:v>
      </x:c>
      <x:c r="F7" s="31" t="str">
        <x:v>Partial</x:v>
      </x:c>
      <x:c r="G7" s="31" t="str">
        <x:v>DataFlow findings open</x:v>
      </x:c>
      <x:c r="H7" s="31" t="str">
        <x:v>High</x:v>
      </x:c>
    </x:row>
    <x:row r="8">
      <x:c r="A8" s="31" t="str">
        <x:v>PBC-007</x:v>
      </x:c>
      <x:c r="B8" s="31" t="str">
        <x:v>CHG-01</x:v>
      </x:c>
      <x:c r="C8" s="31" t="str">
        <x:v>Production change sample</x:v>
      </x:c>
      <x:c r="D8" s="31" t="str">
        <x:v>Engineering</x:v>
      </x:c>
      <x:c r="E8" s="34" t="n">
        <x:v>46290</x:v>
      </x:c>
      <x:c r="F8" s="31" t="str">
        <x:v>Received</x:v>
      </x:c>
      <x:c r="G8" s="31" t="str">
        <x:v>No exception noted</x:v>
      </x:c>
      <x:c r="H8" s="31" t="str">
        <x:v>Medium</x:v>
      </x:c>
    </x:row>
    <x:row r="9">
      <x:c r="A9" s="31" t="str">
        <x:v>PBC-008</x:v>
      </x:c>
      <x:c r="B9" s="31" t="str">
        <x:v>SEC-01</x:v>
      </x:c>
      <x:c r="C9" s="31" t="str">
        <x:v>Training completion report</x:v>
      </x:c>
      <x:c r="D9" s="31" t="str">
        <x:v>People Ops</x:v>
      </x:c>
      <x:c r="E9" s="34" t="n">
        <x:v>46296</x:v>
      </x:c>
      <x:c r="F9" s="31" t="str">
        <x:v>Partial</x:v>
      </x:c>
      <x:c r="G9" s="31" t="str">
        <x:v>Contractor report missing</x:v>
      </x:c>
      <x:c r="H9" s="31" t="str">
        <x:v>Low</x:v>
      </x:c>
    </x:row>
    <x:row r="10">
      <x:c r="A10" s="31" t="str">
        <x:v>PBC-009</x:v>
      </x:c>
      <x:c r="B10" s="31" t="str">
        <x:v>POL-01</x:v>
      </x:c>
      <x:c r="C10" s="31" t="str">
        <x:v>Approved policy set</x:v>
      </x:c>
      <x:c r="D10" s="31" t="str">
        <x:v>GRC Lead</x:v>
      </x:c>
      <x:c r="E10" s="34" t="n">
        <x:v>46280</x:v>
      </x:c>
      <x:c r="F10" s="31" t="str">
        <x:v>Received</x:v>
      </x:c>
      <x:c r="G10" s="31" t="str">
        <x:v>Review calendar needed</x:v>
      </x:c>
      <x:c r="H10" s="31" t="str">
        <x:v>Medium</x:v>
      </x:c>
    </x:row>
    <x:row r="11">
      <x:c r="A11" s="32" t="str">
        <x:v>PBC-010</x:v>
      </x:c>
      <x:c r="B11" s="32" t="str">
        <x:v>CLD-01</x:v>
      </x:c>
      <x:c r="C11" s="32" t="str">
        <x:v>Cloud configuration monitoring report</x:v>
      </x:c>
      <x:c r="D11" s="32" t="str">
        <x:v>Cloud Engineering</x:v>
      </x:c>
      <x:c r="E11" s="35" t="n">
        <x:v>46305</x:v>
      </x:c>
      <x:c r="F11" s="32" t="str">
        <x:v>Partial</x:v>
      </x:c>
      <x:c r="G11" s="32" t="str">
        <x:v>Exceptions not formally reviewed</x:v>
      </x:c>
      <x:c r="H11" s="32" t="str">
        <x:v>High</x:v>
      </x:c>
    </x:row>
  </x:sheetData>
  <x:conditionalFormatting sqref="F2:F11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  <x:cfRule type="containsText" dxfId="15" priority="4" operator="containsText" text="Pass"/>
    <x:cfRule type="containsText" dxfId="16" priority="5" operator="containsText" text="Exception"/>
    <x:cfRule type="containsText" dxfId="17" priority="6" operator="containsText" text="Partial"/>
  </x:conditionalFormatting>
  <x:conditionalFormatting sqref="H2:H11">
    <x:cfRule type="containsText" dxfId="18" priority="7" operator="containsText" text="High"/>
    <x:cfRule type="containsText" dxfId="19" priority="8" operator="containsText" text="Medium"/>
    <x:cfRule type="containsText" dxfId="20" priority="9" operator="containsText" text="Low"/>
    <x:cfRule type="containsText" dxfId="21" priority="10" operator="containsText" text="Pass"/>
    <x:cfRule type="containsText" dxfId="22" priority="11" operator="containsText" text="Exception"/>
    <x:cfRule type="containsText" dxfId="23" priority="12" operator="containsText" text="Partia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14" hidden="0" customWidth="1"/>
    <x:col min="5" max="5" width="42" hidden="0" customWidth="1"/>
    <x:col min="6" max="6" width="48" hidden="0" customWidth="1"/>
    <x:col min="7" max="7" width="22" hidden="0" customWidth="1"/>
    <x:col min="8" max="8" width="14" hidden="0" customWidth="1"/>
    <x:col min="9" max="9" width="16" hidden="0" customWidth="1"/>
  </x:cols>
  <x:sheetData>
    <x:row r="1">
      <x:c r="A1" s="27" t="str">
        <x:v>Finding ID</x:v>
      </x:c>
      <x:c r="B1" s="28" t="str">
        <x:v>Control ID</x:v>
      </x:c>
      <x:c r="C1" s="28" t="str">
        <x:v>Finding</x:v>
      </x:c>
      <x:c r="D1" s="28" t="str">
        <x:v>Severity</x:v>
      </x:c>
      <x:c r="E1" s="28" t="str">
        <x:v>Root Cause</x:v>
      </x:c>
      <x:c r="F1" s="28" t="str">
        <x:v>Corrective Action</x:v>
      </x:c>
      <x:c r="G1" s="28" t="str">
        <x:v>Owner</x:v>
      </x:c>
      <x:c r="H1" s="28" t="str">
        <x:v>Target Date</x:v>
      </x:c>
      <x:c r="I1" s="29" t="str">
        <x:v>Status</x:v>
      </x:c>
    </x:row>
    <x:row r="2">
      <x:c r="A2" s="30" t="str">
        <x:v>SOCF-001</x:v>
      </x:c>
      <x:c r="B2" s="30" t="str">
        <x:v>AC-01</x:v>
      </x:c>
      <x:c r="C2" s="30" t="str">
        <x:v>Contractor MFA evidence incomplete</x:v>
      </x:c>
      <x:c r="D2" s="30" t="str">
        <x:v>High</x:v>
      </x:c>
      <x:c r="E2" s="30" t="str">
        <x:v>Contractor identity process outside normal evidence review</x:v>
      </x:c>
      <x:c r="F2" s="30" t="str">
        <x:v>Require contractor MFA report and update onboarding</x:v>
      </x:c>
      <x:c r="G2" s="30" t="str">
        <x:v>VP of IT</x:v>
      </x:c>
      <x:c r="H2" s="33" t="n">
        <x:v>46295</x:v>
      </x:c>
      <x:c r="I2" s="30" t="str">
        <x:v>Open</x:v>
      </x:c>
    </x:row>
    <x:row r="3">
      <x:c r="A3" s="31" t="str">
        <x:v>SOCF-002</x:v>
      </x:c>
      <x:c r="B3" s="31" t="str">
        <x:v>AC-02</x:v>
      </x:c>
      <x:c r="C3" s="31" t="str">
        <x:v>Access review approval evidence incomplete</x:v>
      </x:c>
      <x:c r="D3" s="31" t="str">
        <x:v>Medium</x:v>
      </x:c>
      <x:c r="E3" s="31" t="str">
        <x:v>Manual review evidence lacks timestamp</x:v>
      </x:c>
      <x:c r="F3" s="31" t="str">
        <x:v>Adopt dated approval workflow</x:v>
      </x:c>
      <x:c r="G3" s="31" t="str">
        <x:v>GRC Lead</x:v>
      </x:c>
      <x:c r="H3" s="34" t="n">
        <x:v>46310</x:v>
      </x:c>
      <x:c r="I3" s="31" t="str">
        <x:v>Open</x:v>
      </x:c>
    </x:row>
    <x:row r="4">
      <x:c r="A4" s="31" t="str">
        <x:v>SOCF-003</x:v>
      </x:c>
      <x:c r="B4" s="31" t="str">
        <x:v>IR-02</x:v>
      </x:c>
      <x:c r="C4" s="31" t="str">
        <x:v>No current-year tabletop evidence</x:v>
      </x:c>
      <x:c r="D4" s="31" t="str">
        <x:v>Medium</x:v>
      </x:c>
      <x:c r="E4" s="31" t="str">
        <x:v>Exercise not completed before readiness review</x:v>
      </x:c>
      <x:c r="F4" s="31" t="str">
        <x:v>Conduct tabletop and retain lessons learned</x:v>
      </x:c>
      <x:c r="G4" s="31" t="str">
        <x:v>CISO</x:v>
      </x:c>
      <x:c r="H4" s="34" t="n">
        <x:v>46341</x:v>
      </x:c>
      <x:c r="I4" s="31" t="str">
        <x:v>Planned</x:v>
      </x:c>
    </x:row>
    <x:row r="5">
      <x:c r="A5" s="31" t="str">
        <x:v>SOCF-004</x:v>
      </x:c>
      <x:c r="B5" s="31" t="str">
        <x:v>VM-02</x:v>
      </x:c>
      <x:c r="C5" s="31" t="str">
        <x:v>Critical vulnerability SLA exceptions not formally approved</x:v>
      </x:c>
      <x:c r="D5" s="31" t="str">
        <x:v>Medium</x:v>
      </x:c>
      <x:c r="E5" s="31" t="str">
        <x:v>Exception process not consistently documented</x:v>
      </x:c>
      <x:c r="F5" s="31" t="str">
        <x:v>Require risk acceptance for overdue criticals</x:v>
      </x:c>
      <x:c r="G5" s="31" t="str">
        <x:v>Security Engineer</x:v>
      </x:c>
      <x:c r="H5" s="34" t="n">
        <x:v>46326</x:v>
      </x:c>
      <x:c r="I5" s="31" t="str">
        <x:v>Open</x:v>
      </x:c>
    </x:row>
    <x:row r="6">
      <x:c r="A6" s="32" t="str">
        <x:v>SOCF-005</x:v>
      </x:c>
      <x:c r="B6" s="32" t="str">
        <x:v>EVD-01</x:v>
      </x:c>
      <x:c r="C6" s="32" t="str">
        <x:v>Evidence ownership decentralized</x:v>
      </x:c>
      <x:c r="D6" s="32" t="str">
        <x:v>Medium</x:v>
      </x:c>
      <x:c r="E6" s="32" t="str">
        <x:v>Evidence retained across multiple team folders</x:v>
      </x:c>
      <x:c r="F6" s="32" t="str">
        <x:v>Create evidence owner matrix and central tracker</x:v>
      </x:c>
      <x:c r="G6" s="32" t="str">
        <x:v>GRC Lead</x:v>
      </x:c>
      <x:c r="H6" s="35" t="n">
        <x:v>46295</x:v>
      </x:c>
      <x:c r="I6" s="32" t="str">
        <x:v>In Progress</x:v>
      </x:c>
    </x:row>
  </x:sheetData>
  <x:conditionalFormatting sqref="D2:D6">
    <x:cfRule type="containsText" dxfId="24" priority="1" operator="containsText" text="High"/>
    <x:cfRule type="containsText" dxfId="25" priority="2" operator="containsText" text="Medium"/>
    <x:cfRule type="containsText" dxfId="26" priority="3" operator="containsText" text="Low"/>
    <x:cfRule type="containsText" dxfId="27" priority="4" operator="containsText" text="Pass"/>
    <x:cfRule type="containsText" dxfId="28" priority="5" operator="containsText" text="Exception"/>
    <x:cfRule type="containsText" dxfId="29" priority="6" operator="containsText" text="Partia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2" hidden="0" customWidth="1"/>
    <x:col min="4" max="4" width="14" hidden="0" customWidth="1"/>
    <x:col min="5" max="5" width="16" hidden="0" customWidth="1"/>
    <x:col min="6" max="6" width="42" hidden="0" customWidth="1"/>
    <x:col min="7" max="7" width="36" hidden="0" customWidth="1"/>
    <x:col min="8" max="8" width="46" hidden="0" customWidth="1"/>
  </x:cols>
  <x:sheetData>
    <x:row r="1">
      <x:c r="A1" s="27" t="str">
        <x:v>Finding ID</x:v>
      </x:c>
      <x:c r="B1" s="28" t="str">
        <x:v>Action</x:v>
      </x:c>
      <x:c r="C1" s="28" t="str">
        <x:v>Owner</x:v>
      </x:c>
      <x:c r="D1" s="28" t="str">
        <x:v>Target Date</x:v>
      </x:c>
      <x:c r="E1" s="28" t="str">
        <x:v>Status</x:v>
      </x:c>
      <x:c r="F1" s="28" t="str">
        <x:v>Validation Method</x:v>
      </x:c>
      <x:c r="G1" s="28" t="str">
        <x:v>Executive Escalation</x:v>
      </x:c>
      <x:c r="H1" s="29" t="str">
        <x:v>Interview Point</x:v>
      </x:c>
    </x:row>
    <x:row r="2">
      <x:c r="A2" s="30" t="str">
        <x:v>SOCF-001</x:v>
      </x:c>
      <x:c r="B2" s="30" t="str">
        <x:v>Require contractor MFA report and update onboarding</x:v>
      </x:c>
      <x:c r="C2" s="30" t="str">
        <x:v>VP of IT</x:v>
      </x:c>
      <x:c r="D2" s="33" t="n">
        <x:v>46295</x:v>
      </x:c>
      <x:c r="E2" s="30" t="str">
        <x:v>Open</x:v>
      </x:c>
      <x:c r="F2" s="30" t="str">
        <x:v>Inspect updated evidence and confirm exception closure</x:v>
      </x:c>
      <x:c r="G2" s="30" t="str">
        <x:v>Escalate if not closed before audit period</x:v>
      </x:c>
      <x:c r="H2" s="30" t="str">
        <x:v>A finding is only closed when evidence proves remediation.</x:v>
      </x:c>
    </x:row>
    <x:row r="3">
      <x:c r="A3" s="31" t="str">
        <x:v>SOCF-002</x:v>
      </x:c>
      <x:c r="B3" s="31" t="str">
        <x:v>Adopt dated approval workflow</x:v>
      </x:c>
      <x:c r="C3" s="31" t="str">
        <x:v>GRC Lead</x:v>
      </x:c>
      <x:c r="D3" s="34" t="n">
        <x:v>46310</x:v>
      </x:c>
      <x:c r="E3" s="31" t="str">
        <x:v>Open</x:v>
      </x:c>
      <x:c r="F3" s="31" t="str">
        <x:v>Inspect updated evidence and confirm exception closure</x:v>
      </x:c>
      <x:c r="G3" s="31" t="str">
        <x:v>Track in readiness sprint</x:v>
      </x:c>
      <x:c r="H3" s="31" t="str">
        <x:v>A finding is only closed when evidence proves remediation.</x:v>
      </x:c>
    </x:row>
    <x:row r="4">
      <x:c r="A4" s="31" t="str">
        <x:v>SOCF-003</x:v>
      </x:c>
      <x:c r="B4" s="31" t="str">
        <x:v>Conduct tabletop and retain lessons learned</x:v>
      </x:c>
      <x:c r="C4" s="31" t="str">
        <x:v>CISO</x:v>
      </x:c>
      <x:c r="D4" s="34" t="n">
        <x:v>46341</x:v>
      </x:c>
      <x:c r="E4" s="31" t="str">
        <x:v>Planned</x:v>
      </x:c>
      <x:c r="F4" s="31" t="str">
        <x:v>Inspect updated evidence and confirm exception closure</x:v>
      </x:c>
      <x:c r="G4" s="31" t="str">
        <x:v>Track in readiness sprint</x:v>
      </x:c>
      <x:c r="H4" s="31" t="str">
        <x:v>A finding is only closed when evidence proves remediation.</x:v>
      </x:c>
    </x:row>
    <x:row r="5">
      <x:c r="A5" s="31" t="str">
        <x:v>SOCF-004</x:v>
      </x:c>
      <x:c r="B5" s="31" t="str">
        <x:v>Require risk acceptance for overdue criticals</x:v>
      </x:c>
      <x:c r="C5" s="31" t="str">
        <x:v>Security Engineer</x:v>
      </x:c>
      <x:c r="D5" s="34" t="n">
        <x:v>46326</x:v>
      </x:c>
      <x:c r="E5" s="31" t="str">
        <x:v>Open</x:v>
      </x:c>
      <x:c r="F5" s="31" t="str">
        <x:v>Inspect updated evidence and confirm exception closure</x:v>
      </x:c>
      <x:c r="G5" s="31" t="str">
        <x:v>Track in readiness sprint</x:v>
      </x:c>
      <x:c r="H5" s="31" t="str">
        <x:v>A finding is only closed when evidence proves remediation.</x:v>
      </x:c>
    </x:row>
    <x:row r="6">
      <x:c r="A6" s="32" t="str">
        <x:v>SOCF-005</x:v>
      </x:c>
      <x:c r="B6" s="32" t="str">
        <x:v>Create evidence owner matrix and central tracker</x:v>
      </x:c>
      <x:c r="C6" s="32" t="str">
        <x:v>GRC Lead</x:v>
      </x:c>
      <x:c r="D6" s="35" t="n">
        <x:v>46295</x:v>
      </x:c>
      <x:c r="E6" s="32" t="str">
        <x:v>In Progress</x:v>
      </x:c>
      <x:c r="F6" s="32" t="str">
        <x:v>Inspect updated evidence and confirm exception closure</x:v>
      </x:c>
      <x:c r="G6" s="32" t="str">
        <x:v>Track in readiness sprint</x:v>
      </x:c>
      <x:c r="H6" s="32" t="str">
        <x:v>A finding is only closed when evidence proves remediation.</x:v>
      </x:c>
    </x:row>
  </x:sheetData>
  <x:conditionalFormatting sqref="G2:G6">
    <x:cfRule type="containsText" dxfId="30" priority="1" operator="containsText" text="High"/>
    <x:cfRule type="containsText" dxfId="31" priority="2" operator="containsText" text="Medium"/>
    <x:cfRule type="containsText" dxfId="32" priority="3" operator="containsText" text="Low"/>
    <x:cfRule type="containsText" dxfId="33" priority="4" operator="containsText" text="Pass"/>
    <x:cfRule type="containsText" dxfId="34" priority="5" operator="containsText" text="Exception"/>
    <x:cfRule type="containsText" dxfId="35" priority="6" operator="containsText" text="Partia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2" hidden="0" customWidth="1"/>
    <x:col min="3" max="3" width="28" hidden="0" customWidth="1"/>
    <x:col min="4" max="4" width="48" hidden="0" customWidth="1"/>
  </x:cols>
  <x:sheetData>
    <x:row r="1">
      <x:c r="A1" s="4" t="str">
        <x:v>Readiness Summary</x:v>
      </x:c>
      <x:c r="B1" s="4"/>
      <x:c r="C1" s="4"/>
      <x:c r="D1" s="4"/>
    </x:row>
    <x:row r="3">
      <x:c r="A3" s="18" t="str">
        <x:v>Overall Status</x:v>
      </x:c>
      <x:c r="B3" s="30" t="str">
        <x:v>Partially Ready</x:v>
      </x:c>
      <x:c r="C3" s="18" t="str">
        <x:v>Executive Message</x:v>
      </x:c>
      <x:c r="D3" s="19" t="str">
        <x:v>Do not begin audit period until high-priority evidence gaps close.</x:v>
      </x:c>
    </x:row>
    <x:row r="4">
      <x:c r="A4" s="20" t="str">
        <x:v>Top Blocker</x:v>
      </x:c>
      <x:c r="B4" s="31" t="str">
        <x:v>Contractor MFA evidence</x:v>
      </x:c>
      <x:c r="C4" s="20" t="str">
        <x:v>Severity</x:v>
      </x:c>
      <x:c r="D4" s="21" t="str">
        <x:v>High</x:v>
      </x:c>
    </x:row>
    <x:row r="5">
      <x:c r="A5" s="20" t="str">
        <x:v>60-90 Day Sprint</x:v>
      </x:c>
      <x:c r="B5" s="31" t="str">
        <x:v>Close access, IR, vulnerability, backup, and evidence ownership gaps.</x:v>
      </x:c>
      <x:c r="C5" s="20" t="str">
        <x:v>Owner</x:v>
      </x:c>
      <x:c r="D5" s="21" t="str">
        <x:v>CISO / GRC</x:v>
      </x:c>
    </x:row>
    <x:row r="6">
      <x:c r="A6" s="20" t="str">
        <x:v>Strong Candidate Talking Point</x:v>
      </x:c>
      <x:c r="B6" s="31" t="str">
        <x:v>SOC 2 readiness is about proving controls operated, not collecting random screenshots.</x:v>
      </x:c>
      <x:c r="C6" s="20" t="str">
        <x:v>Why It Stands Out</x:v>
      </x:c>
      <x:c r="D6" s="21" t="str">
        <x:v>Shows audit evidence maturity</x:v>
      </x:c>
    </x:row>
    <x:row r="7">
      <x:c r="A7" s="20" t="str">
        <x:v>Next Step</x:v>
      </x:c>
      <x:c r="B7" s="31" t="str">
        <x:v>Complete remediation tracker and conduct internal readiness retest.</x:v>
      </x:c>
      <x:c r="C7" s="20" t="str">
        <x:v>Target</x:v>
      </x:c>
      <x:c r="D7" s="36" t="n">
        <x:v>46356</x:v>
      </x:c>
    </x:row>
    <x:row r="8">
      <x:c r="A8" s="20" t="str">
        <x:v>Customer Value</x:v>
      </x:c>
      <x:c r="B8" s="31" t="str">
        <x:v>Improves security questionnaire responses and future audit readiness.</x:v>
      </x:c>
      <x:c r="C8" s="20" t="str">
        <x:v>Portfolio Use</x:v>
      </x:c>
      <x:c r="D8" s="21" t="str">
        <x:v>Capstone project</x:v>
      </x:c>
    </x:row>
    <x:row r="9">
      <x:c r="A9" s="20" t="str">
        <x:v>Audit Risk</x:v>
      </x:c>
      <x:c r="B9" s="31" t="str">
        <x:v>Missing or incomplete evidence may delay audit or create exceptions.</x:v>
      </x:c>
      <x:c r="C9" s="20" t="str">
        <x:v>Decision</x:v>
      </x:c>
      <x:c r="D9" s="21" t="str">
        <x:v>Readiness sprint required</x:v>
      </x:c>
    </x:row>
    <x:row r="10">
      <x:c r="A10" s="22" t="str">
        <x:v>Assessment Date</x:v>
      </x:c>
      <x:c r="B10" s="35" t="n">
        <x:v>46247</x:v>
      </x:c>
      <x:c r="C10" s="22" t="str">
        <x:v>Primary Criteria</x:v>
      </x:c>
      <x:c r="D10" s="23" t="str">
        <x:v>AICPA Trust Services Criteria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86" hidden="0" customWidth="1"/>
    <x:col min="3" max="3" width="44" hidden="0" customWidth="1"/>
  </x:cols>
  <x:sheetData>
    <x:row r="1">
      <x:c r="A1" s="27" t="str">
        <x:v>Reference</x:v>
      </x:c>
      <x:c r="B1" s="28" t="str">
        <x:v>URL</x:v>
      </x:c>
      <x:c r="C1" s="29" t="str">
        <x:v>Use</x:v>
      </x:c>
    </x:row>
    <x:row r="2">
      <x:c r="A2" s="30" t="str">
        <x:v>NIST CSF 2.0</x:v>
      </x:c>
      <x:c r="B2" s="30" t="str">
        <x:v>https://www.nist.gov/cyberframework</x:v>
      </x:c>
      <x:c r="C2" s="30" t="str">
        <x:v>Program outcomes and governance alignment</x:v>
      </x:c>
    </x:row>
    <x:row r="3">
      <x:c r="A3" s="31" t="str">
        <x:v>NIST SP 800-53 Rev. 5 Release 5.2.0</x:v>
      </x:c>
      <x:c r="B3" s="31" t="str">
        <x:v>https://csrc.nist.gov/News/2025/nist-releases-revision-to-sp-800-53-controls</x:v>
      </x:c>
      <x:c r="C3" s="31" t="str">
        <x:v>Control catalog reference</x:v>
      </x:c>
    </x:row>
    <x:row r="4">
      <x:c r="A4" s="31" t="str">
        <x:v>NIST SP 800-53A Rev. 5</x:v>
      </x:c>
      <x:c r="B4" s="31" t="str">
        <x:v>https://csrc.nist.gov/pubs/sp/800/53/a/r5/final</x:v>
      </x:c>
      <x:c r="C4" s="31" t="str">
        <x:v>Control assessment and test procedure reference</x:v>
      </x:c>
    </x:row>
    <x:row r="5">
      <x:c r="A5" s="31" t="str">
        <x:v>CIS Controls v8.1</x:v>
      </x:c>
      <x:c r="B5" s="31" t="str">
        <x:v>https://www.cisecurity.org/controls/v8-1</x:v>
      </x:c>
      <x:c r="C5" s="31" t="str">
        <x:v>Practical safeguard mapping</x:v>
      </x:c>
    </x:row>
    <x:row r="6">
      <x:c r="A6" s="31" t="str">
        <x:v>ISO/IEC 27001:2022/Amd 1:2024</x:v>
      </x:c>
      <x:c r="B6" s="31" t="str">
        <x:v>https://www.iso.org/standard/88435.html</x:v>
      </x:c>
      <x:c r="C6" s="31" t="str">
        <x:v>ISMS requirements</x:v>
      </x:c>
    </x:row>
    <x:row r="7">
      <x:c r="A7" s="31" t="str">
        <x:v>ISO/IEC 27002:2022</x:v>
      </x:c>
      <x:c r="B7" s="31" t="str">
        <x:v>https://www.iso.org/standard/75652.html</x:v>
      </x:c>
      <x:c r="C7" s="31" t="str">
        <x:v>Security control guidance</x:v>
      </x:c>
    </x:row>
    <x:row r="8">
      <x:c r="A8" s="31" t="str">
        <x:v>ISO/IEC 27017:2026</x:v>
      </x:c>
      <x:c r="B8" s="31" t="str">
        <x:v>https://www.iso.org/standard/43757.html</x:v>
      </x:c>
      <x:c r="C8" s="31" t="str">
        <x:v>Cloud-service control guidance</x:v>
      </x:c>
    </x:row>
    <x:row r="9">
      <x:c r="A9" s="31" t="str">
        <x:v>AICPA Trust Services Criteria with revised points of focus 2022</x:v>
      </x:c>
      <x:c r="B9" s="31" t="str">
        <x:v>https://www.aicpa-cima.com/resources/download/2017-trust-services-criteria-with-revised-points-of-focus-2022</x:v>
      </x:c>
      <x:c r="C9" s="31" t="str">
        <x:v>SOC 2 readiness criteria</x:v>
      </x:c>
    </x:row>
    <x:row r="10">
      <x:c r="A10" s="31" t="str">
        <x:v>NIST SP 800-61 Rev. 3</x:v>
      </x:c>
      <x:c r="B10" s="31" t="str">
        <x:v>https://csrc.nist.gov/pubs/sp/800/61/r3/final</x:v>
      </x:c>
      <x:c r="C10" s="31" t="str">
        <x:v>Incident-response control guidance</x:v>
      </x:c>
    </x:row>
    <x:row r="11">
      <x:c r="A11" s="32" t="str">
        <x:v>NIST SP 800-161 Rev. 1 Update 1</x:v>
      </x:c>
      <x:c r="B11" s="32" t="str">
        <x:v>https://csrc.nist.gov/pubs/sp/800/161/r1/upd1/final</x:v>
      </x:c>
      <x:c r="C11" s="32" t="str">
        <x:v>Supply-chain controls</x:v>
      </x:c>
    </x:row>
  </x:sheetData>
  <x:pageMargins left="0.7" right="0.7" top="0.75" bottom="0.75" header="0.3" footer="0.3"/>
</x:worksheet>
</file>