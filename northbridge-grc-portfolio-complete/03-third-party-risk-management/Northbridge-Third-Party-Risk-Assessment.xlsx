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dcc397218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b5152aae54745bf"/>
    <x:sheet xmlns:r="http://schemas.openxmlformats.org/officeDocument/2006/relationships" name="Vendor Profile" sheetId="2" r:id="Rcc4e4cc7d9a4488f"/>
    <x:sheet xmlns:r="http://schemas.openxmlformats.org/officeDocument/2006/relationships" name="Questionnaire" sheetId="3" r:id="R0e19fd01421d46e5"/>
    <x:sheet xmlns:r="http://schemas.openxmlformats.org/officeDocument/2006/relationships" name="Scorecard" sheetId="4" r:id="Rc3b987d8ad684094"/>
    <x:sheet xmlns:r="http://schemas.openxmlformats.org/officeDocument/2006/relationships" name="Findings Register" sheetId="5" r:id="R879a5e79f2e54300"/>
    <x:sheet xmlns:r="http://schemas.openxmlformats.org/officeDocument/2006/relationships" name="Remediation Tracker" sheetId="6" r:id="R42d1412f38d44b2a"/>
    <x:sheet xmlns:r="http://schemas.openxmlformats.org/officeDocument/2006/relationships" name="Decision Memo" sheetId="7" r:id="R97c5490279a1458e"/>
    <x:sheet xmlns:r="http://schemas.openxmlformats.org/officeDocument/2006/relationships" name="References" sheetId="8" r:id="Rf50cadc2a2fd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8F0FE"/>
      </x:patternFill>
    </x:fill>
  </x:fills>
  <x:borders count="18">
    <x:border/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E5E7EB"/>
      </x:bottom>
    </x:border>
    <x:border>
      <x:left style="thin">
        <x:color rgb="FFCBD5E1"/>
      </x:lef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0" fontId="0" fillId="3" borderId="14" xfId="0" applyNumberFormat="1" applyFont="1" applyFill="1" applyBorder="1" applyAlignment="1">
      <x:alignment vertical="top" wrapText="1"/>
    </x:xf>
    <x:xf numFmtId="0" fontId="0" fillId="3" borderId="15" xfId="0" applyNumberFormat="1" applyFont="1" applyFill="1" applyBorder="1" applyAlignment="1">
      <x:alignment vertical="top" wrapText="1"/>
    </x:xf>
    <x:xf numFmtId="0" fontId="4" fillId="3" borderId="14" xfId="0" applyNumberFormat="1" applyFont="1" applyFill="1" applyBorder="1" applyAlignment="1">
      <x:alignment vertical="top" wrapText="1"/>
    </x:xf>
    <x:xf numFmtId="0" fontId="4" fillId="3" borderId="15" xfId="0" applyNumberFormat="1" applyFont="1" applyFill="1" applyBorder="1" applyAlignment="1">
      <x:alignment vertical="top" wrapText="1"/>
    </x:xf>
    <x:xf numFmtId="0" fontId="4" fillId="3" borderId="16" xfId="0" applyNumberFormat="1" applyFont="1" applyFill="1" applyBorder="1" applyAlignment="1">
      <x:alignment vertical="top" wrapText="1"/>
    </x:xf>
    <x:xf numFmtId="0" fontId="4" fillId="3" borderId="13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17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  <x:dxf>
      <x:font>
        <x:b/>
        <x:color rgb="FFB91C1C"/>
      </x:font>
    </x:dxf>
    <x:dxf>
      <x:font>
        <x:b/>
        <x:color rgb="FF92400E"/>
      </x:font>
    </x:dxf>
    <x:dxf>
      <x:font>
        <x:b/>
        <x:color rgb="FF16653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17b638f204404" /><Relationship Type="http://schemas.openxmlformats.org/officeDocument/2006/relationships/theme" Target="/xl/theme/theme1.xml" Id="R70912714168a48a7" /><Relationship Type="http://schemas.openxmlformats.org/officeDocument/2006/relationships/sharedStrings" Target="/xl/sharedStrings.xml" Id="Rd4bb854beac64d83" /><Relationship Type="http://schemas.openxmlformats.org/officeDocument/2006/relationships/worksheet" Target="/xl/worksheets/sheet1.xml" Id="Rab5152aae54745bf" /><Relationship Type="http://schemas.openxmlformats.org/officeDocument/2006/relationships/worksheet" Target="/xl/worksheets/sheet2.xml" Id="Rcc4e4cc7d9a4488f" /><Relationship Type="http://schemas.openxmlformats.org/officeDocument/2006/relationships/worksheet" Target="/xl/worksheets/sheet3.xml" Id="R0e19fd01421d46e5" /><Relationship Type="http://schemas.openxmlformats.org/officeDocument/2006/relationships/worksheet" Target="/xl/worksheets/sheet4.xml" Id="Rc3b987d8ad684094" /><Relationship Type="http://schemas.openxmlformats.org/officeDocument/2006/relationships/worksheet" Target="/xl/worksheets/sheet5.xml" Id="R879a5e79f2e54300" /><Relationship Type="http://schemas.openxmlformats.org/officeDocument/2006/relationships/worksheet" Target="/xl/worksheets/sheet6.xml" Id="R42d1412f38d44b2a" /><Relationship Type="http://schemas.openxmlformats.org/officeDocument/2006/relationships/worksheet" Target="/xl/worksheets/sheet7.xml" Id="R97c5490279a1458e" /><Relationship Type="http://schemas.openxmlformats.org/officeDocument/2006/relationships/worksheet" Target="/xl/worksheets/sheet8.xml" Id="Rf50cadc2a2fd48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42" hidden="0" customWidth="1"/>
    <x:col min="5" max="5" width="48" hidden="0" customWidth="1"/>
    <x:col min="6" max="6" width="28" hidden="0" customWidth="1"/>
    <x:col min="7" max="7" width="14" hidden="0" customWidth="1"/>
    <x:col min="8" max="8" width="16" hidden="0" customWidth="1"/>
  </x:cols>
  <x:sheetData>
    <x:row r="1">
      <x:c r="A1" s="4" t="str">
        <x:v>Northbridge - Third-Party Risk Assessment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Vendor</x:v>
      </x:c>
      <x:c r="B3" s="19" t="str">
        <x:v>DataFlow AI</x:v>
      </x:c>
      <x:c r="D3" s="27" t="str">
        <x:v>Domain</x:v>
      </x:c>
      <x:c r="E3" s="28" t="str">
        <x:v>Weight</x:v>
      </x:c>
      <x:c r="F3" s="28" t="str">
        <x:v>Score</x:v>
      </x:c>
      <x:c r="G3" s="28" t="str">
        <x:v>Weighted</x:v>
      </x:c>
      <x:c r="H3" s="29" t="str">
        <x:v>Highest Risk</x:v>
      </x:c>
    </x:row>
    <x:row r="4">
      <x:c r="A4" s="20" t="str">
        <x:v>Risk Tier</x:v>
      </x:c>
      <x:c r="B4" s="21" t="str">
        <x:v>Critical</x:v>
      </x:c>
      <x:c r="D4" s="30" t="str">
        <x:f>'Scorecard'!A2</x:f>
        <x:v>Governance</x:v>
      </x:c>
      <x:c r="E4" s="33" t="n">
        <x:f>'Scorecard'!B2</x:f>
        <x:v>0.1</x:v>
      </x:c>
      <x:c r="F4" s="30" t="n">
        <x:f>'Scorecard'!C2</x:f>
        <x:v>4</x:v>
      </x:c>
      <x:c r="G4" s="33" t="n">
        <x:f>'Scorecard'!D2</x:f>
        <x:v>0.08000000000000002</x:v>
      </x:c>
      <x:c r="H4" s="30" t="str">
        <x:f>'Scorecard'!F2</x:f>
        <x:v>Medium</x:v>
      </x:c>
    </x:row>
    <x:row r="5">
      <x:c r="A5" s="20" t="str">
        <x:v>Assessment Decision</x:v>
      </x:c>
      <x:c r="B5" s="21" t="str">
        <x:v>Conditional Approval</x:v>
      </x:c>
      <x:c r="D5" s="31" t="str">
        <x:f>'Scorecard'!A3</x:f>
        <x:v>IAM</x:v>
      </x:c>
      <x:c r="E5" s="34" t="n">
        <x:f>'Scorecard'!B3</x:f>
        <x:v>0.2</x:v>
      </x:c>
      <x:c r="F5" s="31" t="n">
        <x:f>'Scorecard'!C3</x:f>
        <x:v>3</x:v>
      </x:c>
      <x:c r="G5" s="34" t="n">
        <x:f>'Scorecard'!D3</x:f>
        <x:v>0.12</x:v>
      </x:c>
      <x:c r="H5" s="31" t="str">
        <x:f>'Scorecard'!F3</x:f>
        <x:v>High</x:v>
      </x:c>
    </x:row>
    <x:row r="6">
      <x:c r="A6" s="20" t="str">
        <x:v>Weighted Score</x:v>
      </x:c>
      <x:c r="B6" s="24" t="n">
        <x:f>SUM('Scorecard'!D2:D8)</x:f>
        <x:v>0.7100000000000002</x:v>
      </x:c>
      <x:c r="D6" s="31" t="str">
        <x:f>'Scorecard'!A4</x:f>
        <x:v>Data Security</x:v>
      </x:c>
      <x:c r="E6" s="34" t="n">
        <x:f>'Scorecard'!B4</x:f>
        <x:v>0.2</x:v>
      </x:c>
      <x:c r="F6" s="31" t="n">
        <x:f>'Scorecard'!C4</x:f>
        <x:v>4</x:v>
      </x:c>
      <x:c r="G6" s="34" t="n">
        <x:f>'Scorecard'!D4</x:f>
        <x:v>0.16000000000000003</x:v>
      </x:c>
      <x:c r="H6" s="31" t="str">
        <x:f>'Scorecard'!F4</x:f>
        <x:v>Medium</x:v>
      </x:c>
    </x:row>
    <x:row r="7">
      <x:c r="A7" s="20" t="str">
        <x:v>High Findings</x:v>
      </x:c>
      <x:c r="B7" s="21" t="n">
        <x:f>COUNTIF('Findings Register'!D2:D6,"High")</x:f>
        <x:v>2</x:v>
      </x:c>
      <x:c r="D7" s="31" t="str">
        <x:f>'Scorecard'!A5</x:f>
        <x:v>Infrastructure Security</x:v>
      </x:c>
      <x:c r="E7" s="34" t="n">
        <x:f>'Scorecard'!B5</x:f>
        <x:v>0.15</x:v>
      </x:c>
      <x:c r="F7" s="31" t="n">
        <x:f>'Scorecard'!C5</x:f>
        <x:v>4</x:v>
      </x:c>
      <x:c r="G7" s="34" t="n">
        <x:f>'Scorecard'!D5</x:f>
        <x:v>0.12</x:v>
      </x:c>
      <x:c r="H7" s="31" t="str">
        <x:f>'Scorecard'!F5</x:f>
        <x:v>Medium</x:v>
      </x:c>
    </x:row>
    <x:row r="8">
      <x:c r="A8" s="20" t="str">
        <x:v>Open Findings</x:v>
      </x:c>
      <x:c r="B8" s="21" t="n">
        <x:f>COUNTIF('Findings Register'!J2:J6,"Open")</x:f>
        <x:v>3</x:v>
      </x:c>
      <x:c r="D8" s="31" t="str">
        <x:f>'Scorecard'!A6</x:f>
        <x:v>Application Security</x:v>
      </x:c>
      <x:c r="E8" s="34" t="n">
        <x:f>'Scorecard'!B6</x:f>
        <x:v>0.15</x:v>
      </x:c>
      <x:c r="F8" s="31" t="n">
        <x:f>'Scorecard'!C6</x:f>
        <x:v>3</x:v>
      </x:c>
      <x:c r="G8" s="34" t="n">
        <x:f>'Scorecard'!D6</x:f>
        <x:v>0.09</x:v>
      </x:c>
      <x:c r="H8" s="31" t="str">
        <x:f>'Scorecard'!F6</x:f>
        <x:v>Medium</x:v>
      </x:c>
    </x:row>
    <x:row r="9">
      <x:c r="A9" s="22" t="str">
        <x:v>Assessment Date</x:v>
      </x:c>
      <x:c r="B9" s="25" t="n">
        <x:v>46247</x:v>
      </x:c>
      <x:c r="D9" s="31" t="str">
        <x:f>'Scorecard'!A7</x:f>
        <x:v>Incident Response and BCP</x:v>
      </x:c>
      <x:c r="E9" s="34" t="n">
        <x:f>'Scorecard'!B7</x:f>
        <x:v>0.1</x:v>
      </x:c>
      <x:c r="F9" s="31" t="n">
        <x:f>'Scorecard'!C7</x:f>
        <x:v>3</x:v>
      </x:c>
      <x:c r="G9" s="34" t="n">
        <x:f>'Scorecard'!D7</x:f>
        <x:v>0.06</x:v>
      </x:c>
      <x:c r="H9" s="31" t="str">
        <x:f>'Scorecard'!F7</x:f>
        <x:v>High</x:v>
      </x:c>
    </x:row>
    <x:row r="10">
      <x:c r="D10" s="32" t="str">
        <x:f>'Scorecard'!A8</x:f>
        <x:v>Compliance and Assurance</x:v>
      </x:c>
      <x:c r="E10" s="35" t="n">
        <x:f>'Scorecard'!B8</x:f>
        <x:v>0.1</x:v>
      </x:c>
      <x:c r="F10" s="32" t="n">
        <x:f>'Scorecard'!C8</x:f>
        <x:v>4</x:v>
      </x:c>
      <x:c r="G10" s="35" t="n">
        <x:f>'Scorecard'!D8</x:f>
        <x:v>0.08000000000000002</x:v>
      </x:c>
      <x:c r="H10" s="32" t="str">
        <x:f>'Scorecard'!F8</x:f>
        <x:v>Medium</x:v>
      </x:c>
    </x:row>
    <x:row r="12">
      <x:c r="A12" s="27" t="str">
        <x:v>Top Findings</x:v>
      </x:c>
      <x:c r="B12" s="28" t="str">
        <x:v>Domain</x:v>
      </x:c>
      <x:c r="C12" s="28" t="str">
        <x:v>Severity</x:v>
      </x:c>
      <x:c r="D12" s="28" t="str">
        <x:v>Risk</x:v>
      </x:c>
      <x:c r="E12" s="28" t="str">
        <x:v>Recommendation</x:v>
      </x:c>
      <x:c r="F12" s="28" t="str">
        <x:v>Owner</x:v>
      </x:c>
      <x:c r="G12" s="28" t="str">
        <x:v>Due Date</x:v>
      </x:c>
      <x:c r="H12" s="29" t="str">
        <x:v>Status</x:v>
      </x:c>
    </x:row>
    <x:row r="13">
      <x:c r="A13" s="30" t="str">
        <x:v>F-001</x:v>
      </x:c>
      <x:c r="B13" s="30" t="str">
        <x:v>IAM</x:v>
      </x:c>
      <x:c r="C13" s="30" t="str">
        <x:v>High</x:v>
      </x:c>
      <x:c r="D13" s="30" t="str">
        <x:v>Unauthorized administrative access could affect customer data and service integrity.</x:v>
      </x:c>
      <x:c r="E13" s="30" t="str">
        <x:v>Require privileged MFA evidence before production integration.</x:v>
      </x:c>
      <x:c r="F13" s="30" t="str">
        <x:v>DataFlow AI Security Lead</x:v>
      </x:c>
      <x:c r="G13" s="36" t="n">
        <x:v>46295</x:v>
      </x:c>
      <x:c r="H13" s="30" t="str">
        <x:v>Open</x:v>
      </x:c>
    </x:row>
    <x:row r="14">
      <x:c r="A14" s="31" t="str">
        <x:v>F-002</x:v>
      </x:c>
      <x:c r="B14" s="31" t="str">
        <x:v>Legal / Incident Response</x:v>
      </x:c>
      <x:c r="C14" s="31" t="str">
        <x:v>High</x:v>
      </x:c>
      <x:c r="D14" s="31" t="str">
        <x:v>Northbridge may not receive timely notice needed for customer and legal obligations.</x:v>
      </x:c>
      <x:c r="E14" s="31" t="str">
        <x:v>Add contract language for timely notification and required incident details.</x:v>
      </x:c>
      <x:c r="F14" s="31" t="str">
        <x:v>Northbridge Legal</x:v>
      </x:c>
      <x:c r="G14" s="37" t="n">
        <x:v>46285</x:v>
      </x:c>
      <x:c r="H14" s="31" t="str">
        <x:v>Open</x:v>
      </x:c>
    </x:row>
    <x:row r="15">
      <x:c r="A15" s="31" t="str">
        <x:v>F-003</x:v>
      </x:c>
      <x:c r="B15" s="31" t="str">
        <x:v>Application Security</x:v>
      </x:c>
      <x:c r="C15" s="31" t="str">
        <x:v>Medium</x:v>
      </x:c>
      <x:c r="D15" s="31" t="str">
        <x:v>Application weaknesses may remain undiscovered longer than Northbridge's target risk tolerance.</x:v>
      </x:c>
      <x:c r="E15" s="31" t="str">
        <x:v>Require annual penetration test or documented compensating control.</x:v>
      </x:c>
      <x:c r="F15" s="31" t="str">
        <x:v>DataFlow AI Security Lead</x:v>
      </x:c>
      <x:c r="G15" s="37" t="n">
        <x:v>46326</x:v>
      </x:c>
      <x:c r="H15" s="31" t="str">
        <x:v>In Progress</x:v>
      </x:c>
    </x:row>
    <x:row r="16">
      <x:c r="A16" s="31" t="str">
        <x:v>F-004</x:v>
      </x:c>
      <x:c r="B16" s="31" t="str">
        <x:v>Incident Response</x:v>
      </x:c>
      <x:c r="C16" s="31" t="str">
        <x:v>Medium</x:v>
      </x:c>
      <x:c r="D16" s="31" t="str">
        <x:v>Response roles and communications may be untested during a customer-impacting incident.</x:v>
      </x:c>
      <x:c r="E16" s="31" t="str">
        <x:v>Request tabletop evidence or scheduled exercise date.</x:v>
      </x:c>
      <x:c r="F16" s="31" t="str">
        <x:v>DataFlow AI Compliance Manager</x:v>
      </x:c>
      <x:c r="G16" s="37" t="n">
        <x:v>46341</x:v>
      </x:c>
      <x:c r="H16" s="31" t="str">
        <x:v>Open</x:v>
      </x:c>
    </x:row>
    <x:row r="17">
      <x:c r="A17" s="32" t="str">
        <x:v>F-005</x:v>
      </x:c>
      <x:c r="B17" s="32" t="str">
        <x:v>Security Awareness</x:v>
      </x:c>
      <x:c r="C17" s="32" t="str">
        <x:v>Low</x:v>
      </x:c>
      <x:c r="D17" s="32" t="str">
        <x:v>Contractors may not receive the same security awareness expectations as employees.</x:v>
      </x:c>
      <x:c r="E17" s="32" t="str">
        <x:v>Expand training evidence to contractor population.</x:v>
      </x:c>
      <x:c r="F17" s="32" t="str">
        <x:v>DataFlow AI HR / Compliance</x:v>
      </x:c>
      <x:c r="G17" s="38" t="n">
        <x:v>46371</x:v>
      </x:c>
      <x:c r="H17" s="32" t="str">
        <x:v>Planned</x:v>
      </x:c>
    </x:row>
  </x:sheetData>
  <x:mergeCells>
    <x:mergeCell ref="A1:H1"/>
  </x:mergeCells>
  <x:conditionalFormatting sqref="H4:H10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conditionalFormatting sqref="C13:C17">
    <x:cfRule type="containsText" dxfId="3" priority="4" operator="containsText" text="High"/>
    <x:cfRule type="containsText" dxfId="4" priority="5" operator="containsText" text="Medium"/>
    <x:cfRule type="containsText" dxfId="5" priority="6" operator="containsText" text="Lo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24" hidden="0" customWidth="1"/>
    <x:col min="4" max="4" width="48" hidden="0" customWidth="1"/>
  </x:cols>
  <x:sheetData>
    <x:row r="1">
      <x:c r="A1" s="4" t="str">
        <x:v>Vendor Profile and Inherent Risk</x:v>
      </x:c>
      <x:c r="B1" s="4"/>
      <x:c r="C1" s="4"/>
      <x:c r="D1" s="4"/>
    </x:row>
    <x:row r="3">
      <x:c r="A3" s="18" t="str">
        <x:v>Vendor</x:v>
      </x:c>
      <x:c r="B3" s="30" t="str">
        <x:v>DataFlow AI</x:v>
      </x:c>
      <x:c r="C3" s="18" t="str">
        <x:v>Service</x:v>
      </x:c>
      <x:c r="D3" s="19" t="str">
        <x:v>AI-assisted customer-support analytics</x:v>
      </x:c>
    </x:row>
    <x:row r="4">
      <x:c r="A4" s="20" t="str">
        <x:v>Data Types</x:v>
      </x:c>
      <x:c r="B4" s="31" t="str">
        <x:v>Confidential customer business data; support metadata; limited user identifiers</x:v>
      </x:c>
      <x:c r="C4" s="20" t="str">
        <x:v>Hosting</x:v>
      </x:c>
      <x:c r="D4" s="21" t="str">
        <x:v>Cloud SaaS</x:v>
      </x:c>
    </x:row>
    <x:row r="5">
      <x:c r="A5" s="20" t="str">
        <x:v>Integration</x:v>
      </x:c>
      <x:c r="B5" s="31" t="str">
        <x:v>API integration with Northbridge application and Salesforce</x:v>
      </x:c>
      <x:c r="C5" s="20" t="str">
        <x:v>Business Owner</x:v>
      </x:c>
      <x:c r="D5" s="21" t="str">
        <x:v>Customer Operations</x:v>
      </x:c>
    </x:row>
    <x:row r="6">
      <x:c r="A6" s="20" t="str">
        <x:v>Inherent Risk Tier</x:v>
      </x:c>
      <x:c r="B6" s="31" t="str">
        <x:v>Critical</x:v>
      </x:c>
      <x:c r="C6" s="20" t="str">
        <x:v>Assessment Type</x:v>
      </x:c>
      <x:c r="D6" s="21" t="str">
        <x:v>Pre-contract security review</x:v>
      </x:c>
    </x:row>
    <x:row r="7">
      <x:c r="A7" s="20" t="str">
        <x:v>Risk Rationale</x:v>
      </x:c>
      <x:c r="B7" s="31" t="str">
        <x:v>Processes customer data and integrates with production support workflow</x:v>
      </x:c>
      <x:c r="C7" s="20" t="str">
        <x:v>Decision</x:v>
      </x:c>
      <x:c r="D7" s="21" t="str">
        <x:v>Conditional Approval</x:v>
      </x:c>
    </x:row>
    <x:row r="8">
      <x:c r="A8" s="20" t="str">
        <x:v>Review Frequency</x:v>
      </x:c>
      <x:c r="B8" s="31" t="str">
        <x:v>Annual critical vendor review</x:v>
      </x:c>
      <x:c r="C8" s="20" t="str">
        <x:v>Next Review</x:v>
      </x:c>
      <x:c r="D8" s="39" t="n">
        <x:v>46612</x:v>
      </x:c>
    </x:row>
    <x:row r="9">
      <x:c r="A9" s="20" t="str">
        <x:v>Primary Framework</x:v>
      </x:c>
      <x:c r="B9" s="31" t="str">
        <x:v>NIST SP 800-161 Rev. 1 Update 1</x:v>
      </x:c>
      <x:c r="C9" s="20" t="str">
        <x:v>Supporting Frameworks</x:v>
      </x:c>
      <x:c r="D9" s="21" t="str">
        <x:v>NIST CSF 2.0, CIS v8.1, ISO, SOC 2</x:v>
      </x:c>
    </x:row>
    <x:row r="10">
      <x:c r="A10" s="20" t="str">
        <x:v>Data Location</x:v>
      </x:c>
      <x:c r="B10" s="31" t="str">
        <x:v>United States cloud region assumed</x:v>
      </x:c>
      <x:c r="C10" s="20" t="str">
        <x:v>Subprocessors</x:v>
      </x:c>
      <x:c r="D10" s="21" t="str">
        <x:v>Disclosed by vendor</x:v>
      </x:c>
    </x:row>
    <x:row r="11">
      <x:c r="A11" s="20" t="str">
        <x:v>Contract Status</x:v>
      </x:c>
      <x:c r="B11" s="31" t="str">
        <x:v>Security exhibit under legal review</x:v>
      </x:c>
      <x:c r="C11" s="20" t="str">
        <x:v>Risk Acceptance Required</x:v>
      </x:c>
      <x:c r="D11" s="21" t="str">
        <x:v>No, if high findings close before production</x:v>
      </x:c>
    </x:row>
    <x:row r="12">
      <x:c r="A12" s="22" t="str">
        <x:v>Assessment Owner</x:v>
      </x:c>
      <x:c r="B12" s="32" t="str">
        <x:v>Northbridge GRC Lead</x:v>
      </x:c>
      <x:c r="C12" s="22" t="str">
        <x:v>Assessment Date</x:v>
      </x:c>
      <x:c r="D12" s="25" t="n">
        <x:v>46247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14" hidden="0" customWidth="1"/>
    <x:col min="4" max="4" width="42" hidden="0" customWidth="1"/>
    <x:col min="5" max="5" width="10" hidden="0" customWidth="1"/>
    <x:col min="6" max="6" width="34" hidden="0" customWidth="1"/>
  </x:cols>
  <x:sheetData>
    <x:row r="1">
      <x:c r="A1" s="27" t="str">
        <x:v>Domain</x:v>
      </x:c>
      <x:c r="B1" s="28" t="str">
        <x:v>Question</x:v>
      </x:c>
      <x:c r="C1" s="28" t="str">
        <x:v>Response</x:v>
      </x:c>
      <x:c r="D1" s="28" t="str">
        <x:v>Evidence Reviewed</x:v>
      </x:c>
      <x:c r="E1" s="28" t="str">
        <x:v>Score</x:v>
      </x:c>
      <x:c r="F1" s="29" t="str">
        <x:v>Framework Reference</x:v>
      </x:c>
    </x:row>
    <x:row r="2">
      <x:c r="A2" s="30" t="str">
        <x:v>Governance</x:v>
      </x:c>
      <x:c r="B2" s="30" t="str">
        <x:v>Does the vendor maintain an information security program with assigned ownership?</x:v>
      </x:c>
      <x:c r="C2" s="30" t="str">
        <x:v>Yes</x:v>
      </x:c>
      <x:c r="D2" s="30" t="str">
        <x:v>Security policy and org chart</x:v>
      </x:c>
      <x:c r="E2" s="30" t="n">
        <x:v>4</x:v>
      </x:c>
      <x:c r="F2" s="30" t="str">
        <x:v>ISO 27001 Clause 5; NIST CSF GV.RR</x:v>
      </x:c>
    </x:row>
    <x:row r="3">
      <x:c r="A3" s="31" t="str">
        <x:v>Governance</x:v>
      </x:c>
      <x:c r="B3" s="31" t="str">
        <x:v>Are security policies reviewed at least annually?</x:v>
      </x:c>
      <x:c r="C3" s="31" t="str">
        <x:v>Partial</x:v>
      </x:c>
      <x:c r="D3" s="31" t="str">
        <x:v>Policy set provided, review cadence unclear</x:v>
      </x:c>
      <x:c r="E3" s="31" t="n">
        <x:v>3</x:v>
      </x:c>
      <x:c r="F3" s="31" t="str">
        <x:v>ISO 27001 Clause 5; SOC 2 CC1</x:v>
      </x:c>
    </x:row>
    <x:row r="4">
      <x:c r="A4" s="31" t="str">
        <x:v>IAM</x:v>
      </x:c>
      <x:c r="B4" s="31" t="str">
        <x:v>Is MFA required for workforce access?</x:v>
      </x:c>
      <x:c r="C4" s="31" t="str">
        <x:v>Yes</x:v>
      </x:c>
      <x:c r="D4" s="31" t="str">
        <x:v>MFA policy</x:v>
      </x:c>
      <x:c r="E4" s="31" t="n">
        <x:v>4</x:v>
      </x:c>
      <x:c r="F4" s="31" t="str">
        <x:v>CIS 6; NIST 800-53 IA-2</x:v>
      </x:c>
    </x:row>
    <x:row r="5">
      <x:c r="A5" s="31" t="str">
        <x:v>IAM</x:v>
      </x:c>
      <x:c r="B5" s="31" t="str">
        <x:v>Is MFA required and evidenced for privileged administrators?</x:v>
      </x:c>
      <x:c r="C5" s="31" t="str">
        <x:v>Partial</x:v>
      </x:c>
      <x:c r="D5" s="31" t="str">
        <x:v>Policy provided, admin evidence missing</x:v>
      </x:c>
      <x:c r="E5" s="31" t="n">
        <x:v>2</x:v>
      </x:c>
      <x:c r="F5" s="31" t="str">
        <x:v>CIS 6; NIST 800-53 IA-2</x:v>
      </x:c>
    </x:row>
    <x:row r="6">
      <x:c r="A6" s="31" t="str">
        <x:v>IAM</x:v>
      </x:c>
      <x:c r="B6" s="31" t="str">
        <x:v>Are access reviews performed for privileged users?</x:v>
      </x:c>
      <x:c r="C6" s="31" t="str">
        <x:v>Partial</x:v>
      </x:c>
      <x:c r="D6" s="31" t="str">
        <x:v>Access review summary, no sample evidence</x:v>
      </x:c>
      <x:c r="E6" s="31" t="n">
        <x:v>3</x:v>
      </x:c>
      <x:c r="F6" s="31" t="str">
        <x:v>NIST 800-53 AC-2; SOC 2 CC6</x:v>
      </x:c>
    </x:row>
    <x:row r="7">
      <x:c r="A7" s="31" t="str">
        <x:v>Data Security</x:v>
      </x:c>
      <x:c r="B7" s="31" t="str">
        <x:v>Is customer data encrypted at rest and in transit?</x:v>
      </x:c>
      <x:c r="C7" s="31" t="str">
        <x:v>Yes</x:v>
      </x:c>
      <x:c r="D7" s="31" t="str">
        <x:v>Architecture and encryption statement</x:v>
      </x:c>
      <x:c r="E7" s="31" t="n">
        <x:v>5</x:v>
      </x:c>
      <x:c r="F7" s="31" t="str">
        <x:v>ISO 27002; ISO 27017</x:v>
      </x:c>
    </x:row>
    <x:row r="8">
      <x:c r="A8" s="31" t="str">
        <x:v>Data Security</x:v>
      </x:c>
      <x:c r="B8" s="31" t="str">
        <x:v>Are retention and deletion requirements documented?</x:v>
      </x:c>
      <x:c r="C8" s="31" t="str">
        <x:v>Yes</x:v>
      </x:c>
      <x:c r="D8" s="31" t="str">
        <x:v>Retention policy</x:v>
      </x:c>
      <x:c r="E8" s="31" t="n">
        <x:v>4</x:v>
      </x:c>
      <x:c r="F8" s="31" t="str">
        <x:v>ISO 27002; SOC 2 Confidentiality</x:v>
      </x:c>
    </x:row>
    <x:row r="9">
      <x:c r="A9" s="31" t="str">
        <x:v>Data Security</x:v>
      </x:c>
      <x:c r="B9" s="31" t="str">
        <x:v>Are subprocessors disclosed?</x:v>
      </x:c>
      <x:c r="C9" s="31" t="str">
        <x:v>Yes</x:v>
      </x:c>
      <x:c r="D9" s="31" t="str">
        <x:v>Subprocessor list</x:v>
      </x:c>
      <x:c r="E9" s="31" t="n">
        <x:v>4</x:v>
      </x:c>
      <x:c r="F9" s="31" t="str">
        <x:v>NIST CSF GV.SC</x:v>
      </x:c>
    </x:row>
    <x:row r="10">
      <x:c r="A10" s="31" t="str">
        <x:v>Infrastructure</x:v>
      </x:c>
      <x:c r="B10" s="31" t="str">
        <x:v>Are vulnerability scans performed regularly?</x:v>
      </x:c>
      <x:c r="C10" s="31" t="str">
        <x:v>Yes</x:v>
      </x:c>
      <x:c r="D10" s="31" t="str">
        <x:v>Vulnerability procedure</x:v>
      </x:c>
      <x:c r="E10" s="31" t="n">
        <x:v>4</x:v>
      </x:c>
      <x:c r="F10" s="31" t="str">
        <x:v>CIS 7; NIST 800-53 RA-5</x:v>
      </x:c>
    </x:row>
    <x:row r="11">
      <x:c r="A11" s="31" t="str">
        <x:v>Infrastructure</x:v>
      </x:c>
      <x:c r="B11" s="31" t="str">
        <x:v>Are critical vulnerabilities remediated under SLA?</x:v>
      </x:c>
      <x:c r="C11" s="31" t="str">
        <x:v>Partial</x:v>
      </x:c>
      <x:c r="D11" s="31" t="str">
        <x:v>SLA exists, aging evidence limited</x:v>
      </x:c>
      <x:c r="E11" s="31" t="n">
        <x:v>3</x:v>
      </x:c>
      <x:c r="F11" s="31" t="str">
        <x:v>CIS 7; NIST 800-53 SI-2</x:v>
      </x:c>
    </x:row>
    <x:row r="12">
      <x:c r="A12" s="31" t="str">
        <x:v>Infrastructure</x:v>
      </x:c>
      <x:c r="B12" s="31" t="str">
        <x:v>Are cloud configuration controls monitored?</x:v>
      </x:c>
      <x:c r="C12" s="31" t="str">
        <x:v>Partial</x:v>
      </x:c>
      <x:c r="D12" s="31" t="str">
        <x:v>Cloud control summary</x:v>
      </x:c>
      <x:c r="E12" s="31" t="n">
        <x:v>3</x:v>
      </x:c>
      <x:c r="F12" s="31" t="str">
        <x:v>ISO 27017; CIS 4</x:v>
      </x:c>
    </x:row>
    <x:row r="13">
      <x:c r="A13" s="31" t="str">
        <x:v>Application Security</x:v>
      </x:c>
      <x:c r="B13" s="31" t="str">
        <x:v>Does the vendor maintain secure SDLC practices?</x:v>
      </x:c>
      <x:c r="C13" s="31" t="str">
        <x:v>Yes</x:v>
      </x:c>
      <x:c r="D13" s="31" t="str">
        <x:v>SDLC policy</x:v>
      </x:c>
      <x:c r="E13" s="31" t="n">
        <x:v>4</x:v>
      </x:c>
      <x:c r="F13" s="31" t="str">
        <x:v>CIS 16; NIST 800-53 SA-10</x:v>
      </x:c>
    </x:row>
    <x:row r="14">
      <x:c r="A14" s="31" t="str">
        <x:v>Application Security</x:v>
      </x:c>
      <x:c r="B14" s="31" t="str">
        <x:v>Is independent penetration testing performed annually?</x:v>
      </x:c>
      <x:c r="C14" s="31" t="str">
        <x:v>No</x:v>
      </x:c>
      <x:c r="D14" s="31" t="str">
        <x:v>Last test summary shows two-year cadence</x:v>
      </x:c>
      <x:c r="E14" s="31" t="n">
        <x:v>2</x:v>
      </x:c>
      <x:c r="F14" s="31" t="str">
        <x:v>SOC 2 CC7; CIS 18</x:v>
      </x:c>
    </x:row>
    <x:row r="15">
      <x:c r="A15" s="31" t="str">
        <x:v>Application Security</x:v>
      </x:c>
      <x:c r="B15" s="31" t="str">
        <x:v>Are high and critical findings tracked to closure?</x:v>
      </x:c>
      <x:c r="C15" s="31" t="str">
        <x:v>Partial</x:v>
      </x:c>
      <x:c r="D15" s="31" t="str">
        <x:v>Summary remediation statement</x:v>
      </x:c>
      <x:c r="E15" s="31" t="n">
        <x:v>3</x:v>
      </x:c>
      <x:c r="F15" s="31" t="str">
        <x:v>NIST 800-53 CA-5</x:v>
      </x:c>
    </x:row>
    <x:row r="16">
      <x:c r="A16" s="31" t="str">
        <x:v>Incident Response</x:v>
      </x:c>
      <x:c r="B16" s="31" t="str">
        <x:v>Does the vendor maintain an incident-response plan?</x:v>
      </x:c>
      <x:c r="C16" s="31" t="str">
        <x:v>Yes</x:v>
      </x:c>
      <x:c r="D16" s="31" t="str">
        <x:v>IR plan</x:v>
      </x:c>
      <x:c r="E16" s="31" t="n">
        <x:v>4</x:v>
      </x:c>
      <x:c r="F16" s="31" t="str">
        <x:v>NIST SP 800-61 Rev. 3</x:v>
      </x:c>
    </x:row>
    <x:row r="17">
      <x:c r="A17" s="31" t="str">
        <x:v>Incident Response</x:v>
      </x:c>
      <x:c r="B17" s="31" t="str">
        <x:v>Has the incident-response plan been tested recently?</x:v>
      </x:c>
      <x:c r="C17" s="31" t="str">
        <x:v>No</x:v>
      </x:c>
      <x:c r="D17" s="31" t="str">
        <x:v>No tabletop evidence</x:v>
      </x:c>
      <x:c r="E17" s="31" t="n">
        <x:v>2</x:v>
      </x:c>
      <x:c r="F17" s="31" t="str">
        <x:v>NIST SP 800-61 Rev. 3; CIS 17</x:v>
      </x:c>
    </x:row>
    <x:row r="18">
      <x:c r="A18" s="31" t="str">
        <x:v>Incident Response</x:v>
      </x:c>
      <x:c r="B18" s="31" t="str">
        <x:v>Are breach notification obligations contractually defined?</x:v>
      </x:c>
      <x:c r="C18" s="31" t="str">
        <x:v>Partial</x:v>
      </x:c>
      <x:c r="D18" s="31" t="str">
        <x:v>Contract language lacks timeline</x:v>
      </x:c>
      <x:c r="E18" s="31" t="n">
        <x:v>2</x:v>
      </x:c>
      <x:c r="F18" s="31" t="str">
        <x:v>SOC 2 CC7; Legal requirement</x:v>
      </x:c>
    </x:row>
    <x:row r="19">
      <x:c r="A19" s="31" t="str">
        <x:v>Business Continuity</x:v>
      </x:c>
      <x:c r="B19" s="31" t="str">
        <x:v>Does the vendor maintain BCP/DR procedures?</x:v>
      </x:c>
      <x:c r="C19" s="31" t="str">
        <x:v>Yes</x:v>
      </x:c>
      <x:c r="D19" s="31" t="str">
        <x:v>BCP statement</x:v>
      </x:c>
      <x:c r="E19" s="31" t="n">
        <x:v>4</x:v>
      </x:c>
      <x:c r="F19" s="31" t="str">
        <x:v>NIST 800-53 CP family</x:v>
      </x:c>
    </x:row>
    <x:row r="20">
      <x:c r="A20" s="31" t="str">
        <x:v>Business Continuity</x:v>
      </x:c>
      <x:c r="B20" s="31" t="str">
        <x:v>Are recovery objectives documented and tested?</x:v>
      </x:c>
      <x:c r="C20" s="31" t="str">
        <x:v>Partial</x:v>
      </x:c>
      <x:c r="D20" s="31" t="str">
        <x:v>RTO/RPO provided, test evidence limited</x:v>
      </x:c>
      <x:c r="E20" s="31" t="n">
        <x:v>3</x:v>
      </x:c>
      <x:c r="F20" s="31" t="str">
        <x:v>NIST 800-53 CP-4, CP-10</x:v>
      </x:c>
    </x:row>
    <x:row r="21">
      <x:c r="A21" s="31" t="str">
        <x:v>Compliance</x:v>
      </x:c>
      <x:c r="B21" s="31" t="str">
        <x:v>Is a SOC 2 or equivalent assurance report available?</x:v>
      </x:c>
      <x:c r="C21" s="31" t="str">
        <x:v>Yes</x:v>
      </x:c>
      <x:c r="D21" s="31" t="str">
        <x:v>SOC 2 executive summary</x:v>
      </x:c>
      <x:c r="E21" s="31" t="n">
        <x:v>4</x:v>
      </x:c>
      <x:c r="F21" s="31" t="str">
        <x:v>AICPA TSC</x:v>
      </x:c>
    </x:row>
    <x:row r="22">
      <x:c r="A22" s="31" t="str">
        <x:v>Compliance</x:v>
      </x:c>
      <x:c r="B22" s="31" t="str">
        <x:v>Are audit exceptions tracked and remediated?</x:v>
      </x:c>
      <x:c r="C22" s="31" t="str">
        <x:v>Partial</x:v>
      </x:c>
      <x:c r="D22" s="31" t="str">
        <x:v>Exception summary provided</x:v>
      </x:c>
      <x:c r="E22" s="31" t="n">
        <x:v>3</x:v>
      </x:c>
      <x:c r="F22" s="31" t="str">
        <x:v>SOC 2 CC4; CC5</x:v>
      </x:c>
    </x:row>
    <x:row r="23">
      <x:c r="A23" s="31" t="str">
        <x:v>Privacy</x:v>
      </x:c>
      <x:c r="B23" s="31" t="str">
        <x:v>Does the vendor document data processing and privacy obligations?</x:v>
      </x:c>
      <x:c r="C23" s="31" t="str">
        <x:v>Yes</x:v>
      </x:c>
      <x:c r="D23" s="31" t="str">
        <x:v>DPA and privacy summary</x:v>
      </x:c>
      <x:c r="E23" s="31" t="n">
        <x:v>4</x:v>
      </x:c>
      <x:c r="F23" s="31" t="str">
        <x:v>ISO 27001; SOC 2 Privacy</x:v>
      </x:c>
    </x:row>
    <x:row r="24">
      <x:c r="A24" s="31" t="str">
        <x:v>Contract</x:v>
      </x:c>
      <x:c r="B24" s="31" t="str">
        <x:v>Are security requirements included in the contract?</x:v>
      </x:c>
      <x:c r="C24" s="31" t="str">
        <x:v>Partial</x:v>
      </x:c>
      <x:c r="D24" s="31" t="str">
        <x:v>Security exhibit provided</x:v>
      </x:c>
      <x:c r="E24" s="31" t="n">
        <x:v>3</x:v>
      </x:c>
      <x:c r="F24" s="31" t="str">
        <x:v>NIST CSF GV.SC</x:v>
      </x:c>
    </x:row>
    <x:row r="25">
      <x:c r="A25" s="31" t="str">
        <x:v>Contract</x:v>
      </x:c>
      <x:c r="B25" s="31" t="str">
        <x:v>Are right-to-audit or assurance-review rights included?</x:v>
      </x:c>
      <x:c r="C25" s="31" t="str">
        <x:v>Partial</x:v>
      </x:c>
      <x:c r="D25" s="31" t="str">
        <x:v>Annual assurance review allowed</x:v>
      </x:c>
      <x:c r="E25" s="31" t="n">
        <x:v>3</x:v>
      </x:c>
      <x:c r="F25" s="31" t="str">
        <x:v>NIST SP 800-161</x:v>
      </x:c>
    </x:row>
    <x:row r="26">
      <x:c r="A26" s="32" t="str">
        <x:v>Monitoring</x:v>
      </x:c>
      <x:c r="B26" s="32" t="str">
        <x:v>Will Northbridge receive security status or risk updates?</x:v>
      </x:c>
      <x:c r="C26" s="32" t="str">
        <x:v>Partial</x:v>
      </x:c>
      <x:c r="D26" s="32" t="str">
        <x:v>Customer portal available, no formal cadence</x:v>
      </x:c>
      <x:c r="E26" s="32" t="n">
        <x:v>3</x:v>
      </x:c>
      <x:c r="F26" s="32" t="str">
        <x:v>NIST CSF GV.SC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18" hidden="0" customWidth="1"/>
    <x:col min="5" max="5" width="58" hidden="0" customWidth="1"/>
    <x:col min="6" max="6" width="18" hidden="0" customWidth="1"/>
  </x:cols>
  <x:sheetData>
    <x:row r="1">
      <x:c r="A1" s="27" t="str">
        <x:v>Domain</x:v>
      </x:c>
      <x:c r="B1" s="28" t="str">
        <x:v>Weight</x:v>
      </x:c>
      <x:c r="C1" s="28" t="str">
        <x:v>Score</x:v>
      </x:c>
      <x:c r="D1" s="28" t="str">
        <x:v>Weighted Score</x:v>
      </x:c>
      <x:c r="E1" s="28" t="str">
        <x:v>Assessment Notes</x:v>
      </x:c>
      <x:c r="F1" s="29" t="str">
        <x:v>Highest Risk</x:v>
      </x:c>
    </x:row>
    <x:row r="2">
      <x:c r="A2" s="30" t="str">
        <x:v>Governance</x:v>
      </x:c>
      <x:c r="B2" s="33" t="n">
        <x:v>0.1</x:v>
      </x:c>
      <x:c r="C2" s="30" t="n">
        <x:v>4</x:v>
      </x:c>
      <x:c r="D2" s="33" t="n">
        <x:f>B2*(C2/5)</x:f>
        <x:v>0.08000000000000002</x:v>
      </x:c>
      <x:c r="E2" s="30" t="str">
        <x:v>Policies and security ownership exist; risk-review cadence needs improvement.</x:v>
      </x:c>
      <x:c r="F2" s="30" t="str">
        <x:v>Medium</x:v>
      </x:c>
    </x:row>
    <x:row r="3">
      <x:c r="A3" s="31" t="str">
        <x:v>IAM</x:v>
      </x:c>
      <x:c r="B3" s="34" t="n">
        <x:v>0.2</x:v>
      </x:c>
      <x:c r="C3" s="31" t="n">
        <x:v>3</x:v>
      </x:c>
      <x:c r="D3" s="34" t="n">
        <x:f>B3*(C3/5)</x:f>
        <x:v>0.12</x:v>
      </x:c>
      <x:c r="E3" s="31" t="str">
        <x:v>MFA exists, but privileged MFA evidence is incomplete.</x:v>
      </x:c>
      <x:c r="F3" s="31" t="str">
        <x:v>High</x:v>
      </x:c>
    </x:row>
    <x:row r="4">
      <x:c r="A4" s="31" t="str">
        <x:v>Data Security</x:v>
      </x:c>
      <x:c r="B4" s="34" t="n">
        <x:v>0.2</x:v>
      </x:c>
      <x:c r="C4" s="31" t="n">
        <x:v>4</x:v>
      </x:c>
      <x:c r="D4" s="34" t="n">
        <x:f>B4*(C4/5)</x:f>
        <x:v>0.16000000000000003</x:v>
      </x:c>
      <x:c r="E4" s="31" t="str">
        <x:v>Encryption, retention, and deletion practices are documented.</x:v>
      </x:c>
      <x:c r="F4" s="31" t="str">
        <x:v>Medium</x:v>
      </x:c>
    </x:row>
    <x:row r="5">
      <x:c r="A5" s="31" t="str">
        <x:v>Infrastructure Security</x:v>
      </x:c>
      <x:c r="B5" s="34" t="n">
        <x:v>0.15</x:v>
      </x:c>
      <x:c r="C5" s="31" t="n">
        <x:v>4</x:v>
      </x:c>
      <x:c r="D5" s="34" t="n">
        <x:f>B5*(C5/5)</x:f>
        <x:v>0.12</x:v>
      </x:c>
      <x:c r="E5" s="31" t="str">
        <x:v>Cloud controls exist; configuration evidence is limited.</x:v>
      </x:c>
      <x:c r="F5" s="31" t="str">
        <x:v>Medium</x:v>
      </x:c>
    </x:row>
    <x:row r="6">
      <x:c r="A6" s="31" t="str">
        <x:v>Application Security</x:v>
      </x:c>
      <x:c r="B6" s="34" t="n">
        <x:v>0.15</x:v>
      </x:c>
      <x:c r="C6" s="31" t="n">
        <x:v>3</x:v>
      </x:c>
      <x:c r="D6" s="34" t="n">
        <x:f>B6*(C6/5)</x:f>
        <x:v>0.09</x:v>
      </x:c>
      <x:c r="E6" s="31" t="str">
        <x:v>Secure SDLC exists; penetration testing cadence is below target.</x:v>
      </x:c>
      <x:c r="F6" s="31" t="str">
        <x:v>Medium</x:v>
      </x:c>
    </x:row>
    <x:row r="7">
      <x:c r="A7" s="31" t="str">
        <x:v>Incident Response and BCP</x:v>
      </x:c>
      <x:c r="B7" s="34" t="n">
        <x:v>0.1</x:v>
      </x:c>
      <x:c r="C7" s="31" t="n">
        <x:v>3</x:v>
      </x:c>
      <x:c r="D7" s="34" t="n">
        <x:f>B7*(C7/5)</x:f>
        <x:v>0.06</x:v>
      </x:c>
      <x:c r="E7" s="31" t="str">
        <x:v>Plans exist, but tabletop and notification evidence are incomplete.</x:v>
      </x:c>
      <x:c r="F7" s="31" t="str">
        <x:v>High</x:v>
      </x:c>
    </x:row>
    <x:row r="8">
      <x:c r="A8" s="31" t="str">
        <x:v>Compliance and Assurance</x:v>
      </x:c>
      <x:c r="B8" s="34" t="n">
        <x:v>0.1</x:v>
      </x:c>
      <x:c r="C8" s="31" t="n">
        <x:v>4</x:v>
      </x:c>
      <x:c r="D8" s="34" t="n">
        <x:f>B8*(C8/5)</x:f>
        <x:v>0.08000000000000002</x:v>
      </x:c>
      <x:c r="E8" s="31" t="str">
        <x:v>SOC 2 evidence is available; exceptions require follow-up.</x:v>
      </x:c>
      <x:c r="F8" s="31" t="str">
        <x:v>Medium</x:v>
      </x:c>
    </x:row>
    <x:row r="9">
      <x:c r="A9" s="31"/>
      <x:c r="B9" s="31"/>
      <x:c r="C9" s="31"/>
      <x:c r="D9" s="34"/>
      <x:c r="E9" s="31"/>
      <x:c r="F9" s="31"/>
    </x:row>
    <x:row r="10">
      <x:c r="A10" s="44" t="str">
        <x:v>Overall Weighted Score</x:v>
      </x:c>
      <x:c r="B10" s="45"/>
      <x:c r="C10" s="46"/>
      <x:c r="D10" s="34" t="n">
        <x:f>SUM(D2:D8)</x:f>
        <x:v>0.7100000000000002</x:v>
      </x:c>
      <x:c r="E10" s="31"/>
      <x:c r="F10" s="31"/>
    </x:row>
    <x:row r="11">
      <x:c r="A11" s="47" t="str">
        <x:v>Decision Threshold</x:v>
      </x:c>
      <x:c r="B11" s="43" t="str">
        <x:v>&gt;=80% Approve; 65%-79% Conditional; &lt;65% Reject</x:v>
      </x:c>
      <x:c r="C11" s="48" t="str">
        <x:v>Decision</x:v>
      </x:c>
      <x:c r="D11" s="35" t="str">
        <x:f>IF(D10&gt;=0.8,"Approve",IF(D10&gt;=0.65,"Conditional Approval","Reject"))</x:f>
        <x:v>Conditional Approval</x:v>
      </x:c>
      <x:c r="E11" s="32"/>
      <x:c r="F11" s="32"/>
    </x:row>
  </x:sheetData>
  <x:conditionalFormatting sqref="F2:F8">
    <x:cfRule type="containsText" dxfId="6" priority="1" operator="containsText" text="High"/>
    <x:cfRule type="containsText" dxfId="7" priority="2" operator="containsText" text="Medium"/>
    <x:cfRule type="containsText" dxfId="8" priority="3" operator="containsText" text="Lo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38" hidden="0" customWidth="1"/>
    <x:col min="4" max="4" width="14" hidden="0" customWidth="1"/>
    <x:col min="5" max="5" width="42" hidden="0" customWidth="1"/>
    <x:col min="6" max="6" width="48" hidden="0" customWidth="1"/>
    <x:col min="7" max="7" width="48" hidden="0" customWidth="1"/>
    <x:col min="8" max="8" width="28" hidden="0" customWidth="1"/>
    <x:col min="9" max="9" width="14" hidden="0" customWidth="1"/>
    <x:col min="10" max="10" width="16" hidden="0" customWidth="1"/>
    <x:col min="11" max="11" width="46" hidden="0" customWidth="1"/>
  </x:cols>
  <x:sheetData>
    <x:row r="1">
      <x:c r="A1" s="27" t="str">
        <x:v>Finding ID</x:v>
      </x:c>
      <x:c r="B1" s="28" t="str">
        <x:v>Domain</x:v>
      </x:c>
      <x:c r="C1" s="28" t="str">
        <x:v>Finding</x:v>
      </x:c>
      <x:c r="D1" s="28" t="str">
        <x:v>Severity</x:v>
      </x:c>
      <x:c r="E1" s="28" t="str">
        <x:v>Evidence Reviewed</x:v>
      </x:c>
      <x:c r="F1" s="28" t="str">
        <x:v>Risk</x:v>
      </x:c>
      <x:c r="G1" s="28" t="str">
        <x:v>Recommendation</x:v>
      </x:c>
      <x:c r="H1" s="28" t="str">
        <x:v>Owner</x:v>
      </x:c>
      <x:c r="I1" s="28" t="str">
        <x:v>Due Date</x:v>
      </x:c>
      <x:c r="J1" s="28" t="str">
        <x:v>Status</x:v>
      </x:c>
      <x:c r="K1" s="29" t="str">
        <x:v>Validation Evidence</x:v>
      </x:c>
    </x:row>
    <x:row r="2">
      <x:c r="A2" s="30" t="str">
        <x:v>F-001</x:v>
      </x:c>
      <x:c r="B2" s="30" t="str">
        <x:v>IAM</x:v>
      </x:c>
      <x:c r="C2" s="30" t="str">
        <x:v>Privileged MFA evidence incomplete</x:v>
      </x:c>
      <x:c r="D2" s="30" t="str">
        <x:v>High</x:v>
      </x:c>
      <x:c r="E2" s="30" t="str">
        <x:v>Vendor provided MFA policy but not an administrator enrollment export or exception list.</x:v>
      </x:c>
      <x:c r="F2" s="30" t="str">
        <x:v>Unauthorized administrative access could affect customer data and service integrity.</x:v>
      </x:c>
      <x:c r="G2" s="30" t="str">
        <x:v>Require privileged MFA evidence before production integration.</x:v>
      </x:c>
      <x:c r="H2" s="30" t="str">
        <x:v>DataFlow AI Security Lead</x:v>
      </x:c>
      <x:c r="I2" s="36" t="n">
        <x:v>46295</x:v>
      </x:c>
      <x:c r="J2" s="30" t="str">
        <x:v>Open</x:v>
      </x:c>
      <x:c r="K2" s="30" t="str">
        <x:v>MFA configuration export, admin enrollment evidence, approved exception log</x:v>
      </x:c>
    </x:row>
    <x:row r="3">
      <x:c r="A3" s="31" t="str">
        <x:v>F-002</x:v>
      </x:c>
      <x:c r="B3" s="31" t="str">
        <x:v>Legal / Incident Response</x:v>
      </x:c>
      <x:c r="C3" s="31" t="str">
        <x:v>Breach notification terms not contractually specific</x:v>
      </x:c>
      <x:c r="D3" s="31" t="str">
        <x:v>High</x:v>
      </x:c>
      <x:c r="E3" s="31" t="str">
        <x:v>Security exhibit references incident notification but does not define timeline or minimum content.</x:v>
      </x:c>
      <x:c r="F3" s="31" t="str">
        <x:v>Northbridge may not receive timely notice needed for customer and legal obligations.</x:v>
      </x:c>
      <x:c r="G3" s="31" t="str">
        <x:v>Add contract language for timely notification and required incident details.</x:v>
      </x:c>
      <x:c r="H3" s="31" t="str">
        <x:v>Northbridge Legal</x:v>
      </x:c>
      <x:c r="I3" s="37" t="n">
        <x:v>46285</x:v>
      </x:c>
      <x:c r="J3" s="31" t="str">
        <x:v>Open</x:v>
      </x:c>
      <x:c r="K3" s="31" t="str">
        <x:v>Executed contract addendum or redlined clause</x:v>
      </x:c>
    </x:row>
    <x:row r="4">
      <x:c r="A4" s="31" t="str">
        <x:v>F-003</x:v>
      </x:c>
      <x:c r="B4" s="31" t="str">
        <x:v>Application Security</x:v>
      </x:c>
      <x:c r="C4" s="31" t="str">
        <x:v>Penetration testing occurs every two years</x:v>
      </x:c>
      <x:c r="D4" s="31" t="str">
        <x:v>Medium</x:v>
      </x:c>
      <x:c r="E4" s="31" t="str">
        <x:v>Vendor provided last external test summary from 2025 and stated testing is every two years.</x:v>
      </x:c>
      <x:c r="F4" s="31" t="str">
        <x:v>Application weaknesses may remain undiscovered longer than Northbridge's target risk tolerance.</x:v>
      </x:c>
      <x:c r="G4" s="31" t="str">
        <x:v>Require annual penetration test or documented compensating control.</x:v>
      </x:c>
      <x:c r="H4" s="31" t="str">
        <x:v>DataFlow AI Security Lead</x:v>
      </x:c>
      <x:c r="I4" s="37" t="n">
        <x:v>46326</x:v>
      </x:c>
      <x:c r="J4" s="31" t="str">
        <x:v>In Progress</x:v>
      </x:c>
      <x:c r="K4" s="31" t="str">
        <x:v>Updated testing schedule or compensating-control approval</x:v>
      </x:c>
    </x:row>
    <x:row r="5">
      <x:c r="A5" s="31" t="str">
        <x:v>F-004</x:v>
      </x:c>
      <x:c r="B5" s="31" t="str">
        <x:v>Incident Response</x:v>
      </x:c>
      <x:c r="C5" s="31" t="str">
        <x:v>Tabletop exercise evidence not provided</x:v>
      </x:c>
      <x:c r="D5" s="31" t="str">
        <x:v>Medium</x:v>
      </x:c>
      <x:c r="E5" s="31" t="str">
        <x:v>Vendor provided incident-response plan but no recent exercise report.</x:v>
      </x:c>
      <x:c r="F5" s="31" t="str">
        <x:v>Response roles and communications may be untested during a customer-impacting incident.</x:v>
      </x:c>
      <x:c r="G5" s="31" t="str">
        <x:v>Request tabletop evidence or scheduled exercise date.</x:v>
      </x:c>
      <x:c r="H5" s="31" t="str">
        <x:v>DataFlow AI Compliance Manager</x:v>
      </x:c>
      <x:c r="I5" s="37" t="n">
        <x:v>46341</x:v>
      </x:c>
      <x:c r="J5" s="31" t="str">
        <x:v>Open</x:v>
      </x:c>
      <x:c r="K5" s="31" t="str">
        <x:v>Exercise report, participant list, lessons learned</x:v>
      </x:c>
    </x:row>
    <x:row r="6">
      <x:c r="A6" s="32" t="str">
        <x:v>F-005</x:v>
      </x:c>
      <x:c r="B6" s="32" t="str">
        <x:v>Security Awareness</x:v>
      </x:c>
      <x:c r="C6" s="32" t="str">
        <x:v>Contractor training evidence incomplete</x:v>
      </x:c>
      <x:c r="D6" s="32" t="str">
        <x:v>Low</x:v>
      </x:c>
      <x:c r="E6" s="32" t="str">
        <x:v>Training report covered employees but did not show contractor completion.</x:v>
      </x:c>
      <x:c r="F6" s="32" t="str">
        <x:v>Contractors may not receive the same security awareness expectations as employees.</x:v>
      </x:c>
      <x:c r="G6" s="32" t="str">
        <x:v>Expand training evidence to contractor population.</x:v>
      </x:c>
      <x:c r="H6" s="32" t="str">
        <x:v>DataFlow AI HR / Compliance</x:v>
      </x:c>
      <x:c r="I6" s="38" t="n">
        <x:v>46371</x:v>
      </x:c>
      <x:c r="J6" s="32" t="str">
        <x:v>Planned</x:v>
      </x:c>
      <x:c r="K6" s="32" t="str">
        <x:v>Training completion report including contractors</x:v>
      </x:c>
    </x:row>
  </x:sheetData>
  <x:conditionalFormatting sqref="D2:D6">
    <x:cfRule type="containsText" dxfId="9" priority="1" operator="containsText" text="High"/>
    <x:cfRule type="containsText" dxfId="10" priority="2" operator="containsText" text="Medium"/>
    <x:cfRule type="containsText" dxfId="11" priority="3" operator="containsText" text="Low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28" hidden="0" customWidth="1"/>
    <x:col min="4" max="4" width="14" hidden="0" customWidth="1"/>
    <x:col min="5" max="5" width="16" hidden="0" customWidth="1"/>
    <x:col min="6" max="6" width="16" hidden="0" customWidth="1"/>
    <x:col min="7" max="7" width="28" hidden="0" customWidth="1"/>
    <x:col min="8" max="8" width="48" hidden="0" customWidth="1"/>
  </x:cols>
  <x:sheetData>
    <x:row r="1">
      <x:c r="A1" s="27" t="str">
        <x:v>Finding ID</x:v>
      </x:c>
      <x:c r="B1" s="28" t="str">
        <x:v>Required Action</x:v>
      </x:c>
      <x:c r="C1" s="28" t="str">
        <x:v>Owner</x:v>
      </x:c>
      <x:c r="D1" s="28" t="str">
        <x:v>Due Date</x:v>
      </x:c>
      <x:c r="E1" s="28" t="str">
        <x:v>Status</x:v>
      </x:c>
      <x:c r="F1" s="28" t="str">
        <x:v>Days Until Due</x:v>
      </x:c>
      <x:c r="G1" s="28" t="str">
        <x:v>Escalation</x:v>
      </x:c>
      <x:c r="H1" s="29" t="str">
        <x:v>Closure Criteria</x:v>
      </x:c>
    </x:row>
    <x:row r="2">
      <x:c r="A2" s="30" t="str">
        <x:v>F-001</x:v>
      </x:c>
      <x:c r="B2" s="30" t="str">
        <x:v>Require privileged MFA evidence before production integration.</x:v>
      </x:c>
      <x:c r="C2" s="30" t="str">
        <x:v>DataFlow AI Security Lead</x:v>
      </x:c>
      <x:c r="D2" s="36" t="n">
        <x:v>46295</x:v>
      </x:c>
      <x:c r="E2" s="30" t="str">
        <x:v>Open</x:v>
      </x:c>
      <x:c r="F2" s="49" t="n">
        <x:f>DATEDIF(DATE(2026,8,13),D2,"d")</x:f>
        <x:v>48</x:v>
      </x:c>
      <x:c r="G2" s="30" t="str">
        <x:v>Escalate to CISO if overdue</x:v>
      </x:c>
      <x:c r="H2" s="30" t="str">
        <x:v>MFA configuration export, admin enrollment evidence, approved exception log</x:v>
      </x:c>
    </x:row>
    <x:row r="3">
      <x:c r="A3" s="31" t="str">
        <x:v>F-002</x:v>
      </x:c>
      <x:c r="B3" s="31" t="str">
        <x:v>Add contract language for timely notification and required incident details.</x:v>
      </x:c>
      <x:c r="C3" s="31" t="str">
        <x:v>Northbridge Legal</x:v>
      </x:c>
      <x:c r="D3" s="37" t="n">
        <x:v>46285</x:v>
      </x:c>
      <x:c r="E3" s="31" t="str">
        <x:v>Open</x:v>
      </x:c>
      <x:c r="F3" s="50" t="n">
        <x:f>DATEDIF(DATE(2026,8,13),D3,"d")</x:f>
        <x:v>38</x:v>
      </x:c>
      <x:c r="G3" s="31" t="str">
        <x:v>Escalate to CISO if overdue</x:v>
      </x:c>
      <x:c r="H3" s="31" t="str">
        <x:v>Executed contract addendum or redlined clause</x:v>
      </x:c>
    </x:row>
    <x:row r="4">
      <x:c r="A4" s="31" t="str">
        <x:v>F-003</x:v>
      </x:c>
      <x:c r="B4" s="31" t="str">
        <x:v>Require annual penetration test or documented compensating control.</x:v>
      </x:c>
      <x:c r="C4" s="31" t="str">
        <x:v>DataFlow AI Security Lead</x:v>
      </x:c>
      <x:c r="D4" s="37" t="n">
        <x:v>46326</x:v>
      </x:c>
      <x:c r="E4" s="31" t="str">
        <x:v>In Progress</x:v>
      </x:c>
      <x:c r="F4" s="50" t="n">
        <x:f>DATEDIF(DATE(2026,8,13),D4,"d")</x:f>
        <x:v>79</x:v>
      </x:c>
      <x:c r="G4" s="31" t="str">
        <x:v>Track in vendor review</x:v>
      </x:c>
      <x:c r="H4" s="31" t="str">
        <x:v>Updated testing schedule or compensating-control approval</x:v>
      </x:c>
    </x:row>
    <x:row r="5">
      <x:c r="A5" s="31" t="str">
        <x:v>F-004</x:v>
      </x:c>
      <x:c r="B5" s="31" t="str">
        <x:v>Request tabletop evidence or scheduled exercise date.</x:v>
      </x:c>
      <x:c r="C5" s="31" t="str">
        <x:v>DataFlow AI Compliance Manager</x:v>
      </x:c>
      <x:c r="D5" s="37" t="n">
        <x:v>46341</x:v>
      </x:c>
      <x:c r="E5" s="31" t="str">
        <x:v>Open</x:v>
      </x:c>
      <x:c r="F5" s="50" t="n">
        <x:f>DATEDIF(DATE(2026,8,13),D5,"d")</x:f>
        <x:v>94</x:v>
      </x:c>
      <x:c r="G5" s="31" t="str">
        <x:v>Track in vendor review</x:v>
      </x:c>
      <x:c r="H5" s="31" t="str">
        <x:v>Exercise report, participant list, lessons learned</x:v>
      </x:c>
    </x:row>
    <x:row r="6">
      <x:c r="A6" s="32" t="str">
        <x:v>F-005</x:v>
      </x:c>
      <x:c r="B6" s="32" t="str">
        <x:v>Expand training evidence to contractor population.</x:v>
      </x:c>
      <x:c r="C6" s="32" t="str">
        <x:v>DataFlow AI HR / Compliance</x:v>
      </x:c>
      <x:c r="D6" s="38" t="n">
        <x:v>46371</x:v>
      </x:c>
      <x:c r="E6" s="32" t="str">
        <x:v>Planned</x:v>
      </x:c>
      <x:c r="F6" s="51" t="n">
        <x:f>DATEDIF(DATE(2026,8,13),D6,"d")</x:f>
        <x:v>124</x:v>
      </x:c>
      <x:c r="G6" s="32" t="str">
        <x:v>Track in vendor review</x:v>
      </x:c>
      <x:c r="H6" s="32" t="str">
        <x:v>Training completion report including contractors</x:v>
      </x:c>
    </x:row>
  </x:sheetData>
  <x:conditionalFormatting sqref="G2:G6">
    <x:cfRule type="containsText" dxfId="12" priority="1" operator="containsText" text="High"/>
    <x:cfRule type="containsText" dxfId="13" priority="2" operator="containsText" text="Medium"/>
    <x:cfRule type="containsText" dxfId="14" priority="3" operator="containsText" text="Low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24" hidden="0" customWidth="1"/>
    <x:col min="4" max="4" width="44" hidden="0" customWidth="1"/>
  </x:cols>
  <x:sheetData>
    <x:row r="1">
      <x:c r="A1" s="4" t="str">
        <x:v>Vendor Decision Memo</x:v>
      </x:c>
      <x:c r="B1" s="4"/>
      <x:c r="C1" s="4"/>
      <x:c r="D1" s="4"/>
    </x:row>
    <x:row r="3">
      <x:c r="A3" s="18" t="str">
        <x:v>Vendor</x:v>
      </x:c>
      <x:c r="B3" s="30" t="str">
        <x:v>DataFlow AI</x:v>
      </x:c>
      <x:c r="C3" s="18" t="str">
        <x:v>Decision</x:v>
      </x:c>
      <x:c r="D3" s="19" t="str">
        <x:v>Conditional Approval</x:v>
      </x:c>
    </x:row>
    <x:row r="4">
      <x:c r="A4" s="20" t="str">
        <x:v>Business Need</x:v>
      </x:c>
      <x:c r="B4" s="31" t="str">
        <x:v>AI-assisted support analytics for customer operations</x:v>
      </x:c>
      <x:c r="C4" s="20" t="str">
        <x:v>Risk Tier</x:v>
      </x:c>
      <x:c r="D4" s="21" t="str">
        <x:v>Critical</x:v>
      </x:c>
    </x:row>
    <x:row r="5">
      <x:c r="A5" s="20" t="str">
        <x:v>Rationale</x:v>
      </x:c>
      <x:c r="B5" s="31" t="str">
        <x:v>Vendor has a reasonable security foundation, but high findings must close before full production use.</x:v>
      </x:c>
      <x:c r="C5" s="20" t="str">
        <x:v>Score</x:v>
      </x:c>
      <x:c r="D5" s="24" t="n">
        <x:f>Scorecard!D10</x:f>
        <x:v>0.7100000000000002</x:v>
      </x:c>
    </x:row>
    <x:row r="6">
      <x:c r="A6" s="20" t="str">
        <x:v>Required Conditions</x:v>
      </x:c>
      <x:c r="B6" s="31" t="str">
        <x:v>Privileged MFA evidence; breach-notification language; annual penetration test commitment; IR tabletop evidence.</x:v>
      </x:c>
      <x:c r="C6" s="20" t="str">
        <x:v>Approval Owner</x:v>
      </x:c>
      <x:c r="D6" s="21" t="str">
        <x:v>CISO / Legal / Customer Operations</x:v>
      </x:c>
    </x:row>
    <x:row r="7">
      <x:c r="A7" s="20" t="str">
        <x:v>Production Use</x:v>
      </x:c>
      <x:c r="B7" s="31" t="str">
        <x:v>Limited implementation only until high findings are closed.</x:v>
      </x:c>
      <x:c r="C7" s="20" t="str">
        <x:v>Risk Acceptance</x:v>
      </x:c>
      <x:c r="D7" s="21" t="str">
        <x:v>Not recommended for unresolved high findings</x:v>
      </x:c>
    </x:row>
    <x:row r="8">
      <x:c r="A8" s="20" t="str">
        <x:v>Executive Message</x:v>
      </x:c>
      <x:c r="B8" s="31" t="str">
        <x:v>This is a managed business-risk decision, not a simple pass/fail checklist.</x:v>
      </x:c>
      <x:c r="C8" s="20" t="str">
        <x:v>Next Review</x:v>
      </x:c>
      <x:c r="D8" s="39" t="n">
        <x:v>46612</x:v>
      </x:c>
    </x:row>
    <x:row r="9">
      <x:c r="A9" s="20" t="str">
        <x:v>Interview Talking Point</x:v>
      </x:c>
      <x:c r="B9" s="31" t="str">
        <x:v>Conditional approval supports the business while preserving risk accountability.</x:v>
      </x:c>
      <x:c r="C9" s="20" t="str">
        <x:v>Assessment Date</x:v>
      </x:c>
      <x:c r="D9" s="39" t="n">
        <x:v>46247</x:v>
      </x:c>
    </x:row>
    <x:row r="10">
      <x:c r="A10" s="22" t="str">
        <x:v>Portfolio Skill</x:v>
      </x:c>
      <x:c r="B10" s="32" t="str">
        <x:v>Vendor classification, evidence review, findings, remediation tracking, and decision documentation.</x:v>
      </x:c>
      <x:c r="C10" s="22" t="str">
        <x:v>Primary Standard</x:v>
      </x:c>
      <x:c r="D10" s="23" t="str">
        <x:v>NIST SP 800-161 Rev. 1 Update 1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6" hidden="0" customWidth="1"/>
    <x:col min="3" max="3" width="44" hidden="0" customWidth="1"/>
  </x:cols>
  <x:sheetData>
    <x:row r="1">
      <x:c r="A1" s="27" t="str">
        <x:v>Reference</x:v>
      </x:c>
      <x:c r="B1" s="28" t="str">
        <x:v>URL</x:v>
      </x:c>
      <x:c r="C1" s="29" t="str">
        <x:v>Use in Workbook</x:v>
      </x:c>
    </x:row>
    <x:row r="2">
      <x:c r="A2" s="30" t="str">
        <x:v>NIST SP 800-161 Rev. 1 Update 1</x:v>
      </x:c>
      <x:c r="B2" s="30" t="str">
        <x:v>https://csrc.nist.gov/pubs/sp/800/161/r1/upd1/final</x:v>
      </x:c>
      <x:c r="C2" s="30" t="str">
        <x:v>Supply-chain cybersecurity risk methodology</x:v>
      </x:c>
    </x:row>
    <x:row r="3">
      <x:c r="A3" s="31" t="str">
        <x:v>NIST CSF 2.0</x:v>
      </x:c>
      <x:c r="B3" s="31" t="str">
        <x:v>https://www.nist.gov/cyberframework</x:v>
      </x:c>
      <x:c r="C3" s="31" t="str">
        <x:v>Governance and supply-chain outcome alignment</x:v>
      </x:c>
    </x:row>
    <x:row r="4">
      <x:c r="A4" s="31" t="str">
        <x:v>NIST IR 8286 Rev. 1</x:v>
      </x:c>
      <x:c r="B4" s="31" t="str">
        <x:v>https://csrc.nist.gov/pubs/ir/8286/r1/final</x:v>
      </x:c>
      <x:c r="C4" s="31" t="str">
        <x:v>Enterprise-risk reporting context</x:v>
      </x:c>
    </x:row>
    <x:row r="5">
      <x:c r="A5" s="31" t="str">
        <x:v>NIST SP 800-53 Rev. 5 Release 5.2.0</x:v>
      </x:c>
      <x:c r="B5" s="31" t="str">
        <x:v>https://csrc.nist.gov/News/2025/nist-releases-revision-to-sp-800-53-controls</x:v>
      </x:c>
      <x:c r="C5" s="31" t="str">
        <x:v>Control references</x:v>
      </x:c>
    </x:row>
    <x:row r="6">
      <x:c r="A6" s="31" t="str">
        <x:v>NIST SP 800-53A Rev. 5</x:v>
      </x:c>
      <x:c r="B6" s="31" t="str">
        <x:v>https://csrc.nist.gov/pubs/sp/800/53/a/r5/final</x:v>
      </x:c>
      <x:c r="C6" s="31" t="str">
        <x:v>Evidence and assessment logic</x:v>
      </x:c>
    </x:row>
    <x:row r="7">
      <x:c r="A7" s="31" t="str">
        <x:v>NIST SP 800-61 Rev. 3</x:v>
      </x:c>
      <x:c r="B7" s="31" t="str">
        <x:v>https://csrc.nist.gov/pubs/sp/800/61/r3/final</x:v>
      </x:c>
      <x:c r="C7" s="31" t="str">
        <x:v>Incident response and notification review</x:v>
      </x:c>
    </x:row>
    <x:row r="8">
      <x:c r="A8" s="31" t="str">
        <x:v>CIS Controls v8.1</x:v>
      </x:c>
      <x:c r="B8" s="31" t="str">
        <x:v>https://www.cisecurity.org/controls/v8-1</x:v>
      </x:c>
      <x:c r="C8" s="31" t="str">
        <x:v>Practical safeguard mapping</x:v>
      </x:c>
    </x:row>
    <x:row r="9">
      <x:c r="A9" s="31" t="str">
        <x:v>ISO/IEC 27001:2022/Amd 1:2024</x:v>
      </x:c>
      <x:c r="B9" s="31" t="str">
        <x:v>https://www.iso.org/standard/88435.html</x:v>
      </x:c>
      <x:c r="C9" s="31" t="str">
        <x:v>ISMS alignment</x:v>
      </x:c>
    </x:row>
    <x:row r="10">
      <x:c r="A10" s="31" t="str">
        <x:v>ISO/IEC 27002:2022</x:v>
      </x:c>
      <x:c r="B10" s="31" t="str">
        <x:v>https://www.iso.org/standard/75652.html</x:v>
      </x:c>
      <x:c r="C10" s="31" t="str">
        <x:v>Security control guidance</x:v>
      </x:c>
    </x:row>
    <x:row r="11">
      <x:c r="A11" s="31" t="str">
        <x:v>ISO/IEC 27017:2026</x:v>
      </x:c>
      <x:c r="B11" s="31" t="str">
        <x:v>https://www.iso.org/standard/43757.html</x:v>
      </x:c>
      <x:c r="C11" s="31" t="str">
        <x:v>Cloud-service control considerations</x:v>
      </x:c>
    </x:row>
    <x:row r="12">
      <x:c r="A12" s="32" t="str">
        <x:v>AICPA TSC revised points of focus 2022</x:v>
      </x:c>
      <x:c r="B12" s="32" t="str">
        <x:v>https://www.aicpa-cima.com/resources/download/2017-trust-services-criteria-with-revised-points-of-focus-2022</x:v>
      </x:c>
      <x:c r="C12" s="32" t="str">
        <x:v>SOC 2 evidence review</x:v>
      </x:c>
    </x:row>
  </x:sheetData>
  <x:pageMargins left="0.7" right="0.7" top="0.75" bottom="0.75" header="0.3" footer="0.3"/>
</x:worksheet>
</file>