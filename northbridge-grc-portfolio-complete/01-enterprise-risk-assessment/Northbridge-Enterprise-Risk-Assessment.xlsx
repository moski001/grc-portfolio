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a523cf712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4726b6cca8a4309"/>
    <x:sheet xmlns:r="http://schemas.openxmlformats.org/officeDocument/2006/relationships" name="Methodology" sheetId="2" r:id="R26104071ba444d6a"/>
    <x:sheet xmlns:r="http://schemas.openxmlformats.org/officeDocument/2006/relationships" name="Risk Register" sheetId="3" r:id="R8785afa2b5e34298"/>
    <x:sheet xmlns:r="http://schemas.openxmlformats.org/officeDocument/2006/relationships" name="Treatment Plan" sheetId="4" r:id="R7c7f0c4559214b4f"/>
    <x:sheet xmlns:r="http://schemas.openxmlformats.org/officeDocument/2006/relationships" name="References" sheetId="5" r:id="R4b806395de3a4e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8F0FE"/>
      </x:patternFill>
    </x:fill>
  </x:fills>
  <x:borders count="16">
    <x:border/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E5E7EB"/>
      </x:bottom>
    </x:border>
    <x:border>
      <x:right style="thin">
        <x:color rgb="FFD1D5DB"/>
      </x:right>
      <x:top style="thin">
        <x:color rgb="FFD1D5DB"/>
      </x:top>
      <x:bottom style="thin">
        <x:color rgb="FFE5E7EB"/>
      </x:bottom>
    </x:border>
    <x:border>
      <x:left style="thin">
        <x:color rgb="FFD1D5DB"/>
      </x:left>
      <x:right style="thin">
        <x:color rgb="FFD1D5DB"/>
      </x:right>
      <x:top style="thin">
        <x:color rgb="FFE5E7EB"/>
      </x:top>
      <x:bottom style="thin">
        <x:color rgb="FFE5E7EB"/>
      </x:bottom>
    </x:border>
    <x:border>
      <x:right style="thin">
        <x:color rgb="FFD1D5DB"/>
      </x:right>
      <x:top style="thin">
        <x:color rgb="FFE5E7EB"/>
      </x:top>
      <x:bottom style="thin">
        <x:color rgb="FFE5E7EB"/>
      </x:bottom>
    </x:border>
    <x:border>
      <x:left style="thin">
        <x:color rgb="FFD1D5DB"/>
      </x:left>
      <x:right style="thin">
        <x:color rgb="FFD1D5DB"/>
      </x:right>
      <x:top style="thin">
        <x:color rgb="FFE5E7EB"/>
      </x:top>
      <x:bottom style="thin">
        <x:color rgb="FFD1D5DB"/>
      </x:bottom>
    </x:border>
    <x:border>
      <x:right style="thin">
        <x:color rgb="FFD1D5DB"/>
      </x:right>
      <x:top style="thin">
        <x:color rgb="FFE5E7E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2" fillId="2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28">
    <x:dxf>
      <x:font>
        <x:b/>
        <x:color rgb="FFB91C1C"/>
      </x:font>
    </x:dxf>
    <x:dxf>
      <x:font>
        <x:b/>
        <x:color rgb="FF9A3412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A3412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A3412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A3412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A3412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A3412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A3412"/>
      </x:font>
    </x:dxf>
    <x:dxf>
      <x:font>
        <x:b/>
        <x:color rgb="FF92400E"/>
      </x:font>
    </x:dxf>
    <x:dxf>
      <x:font>
        <x:b/>
        <x:color rgb="FF16653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85f6ea9f9944c9" /><Relationship Type="http://schemas.openxmlformats.org/officeDocument/2006/relationships/theme" Target="/xl/theme/theme1.xml" Id="R3a3c4587a83a4610" /><Relationship Type="http://schemas.openxmlformats.org/officeDocument/2006/relationships/sharedStrings" Target="/xl/sharedStrings.xml" Id="R0d0ab34b9b9b4fc8" /><Relationship Type="http://schemas.openxmlformats.org/officeDocument/2006/relationships/worksheet" Target="/xl/worksheets/sheet1.xml" Id="R24726b6cca8a4309" /><Relationship Type="http://schemas.openxmlformats.org/officeDocument/2006/relationships/worksheet" Target="/xl/worksheets/sheet2.xml" Id="R26104071ba444d6a" /><Relationship Type="http://schemas.openxmlformats.org/officeDocument/2006/relationships/worksheet" Target="/xl/worksheets/sheet3.xml" Id="R8785afa2b5e34298" /><Relationship Type="http://schemas.openxmlformats.org/officeDocument/2006/relationships/worksheet" Target="/xl/worksheets/sheet4.xml" Id="R7c7f0c4559214b4f" /><Relationship Type="http://schemas.openxmlformats.org/officeDocument/2006/relationships/worksheet" Target="/xl/worksheets/sheet5.xml" Id="R4b806395de3a4e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6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</x:cols>
  <x:sheetData>
    <x:row r="1">
      <x:c r="A1" s="5" t="str">
        <x:v>Northbridge - Cyber Risk Assessment</x:v>
      </x:c>
      <x:c r="B1" s="5"/>
      <x:c r="C1" s="5"/>
      <x:c r="D1" s="5"/>
      <x:c r="E1" s="5"/>
      <x:c r="F1" s="5"/>
      <x:c r="G1" s="5"/>
      <x:c r="H1" s="5"/>
    </x:row>
    <x:row r="3">
      <x:c r="A3" s="19" t="str">
        <x:v>Total Risks</x:v>
      </x:c>
      <x:c r="B3" s="20" t="n">
        <x:f>COUNTA('Risk Register'!A2:A21)</x:f>
        <x:v>20</x:v>
      </x:c>
      <x:c r="D3" s="27" t="str">
        <x:v>Residual Rating</x:v>
      </x:c>
      <x:c r="E3" s="28" t="str">
        <x:v>Count</x:v>
      </x:c>
      <x:c r="F3" s="28" t="str">
        <x:v>Management Meaning</x:v>
      </x:c>
      <x:c r="G3" s="28" t="str">
        <x:v>Primary Action</x:v>
      </x:c>
      <x:c r="H3" s="29" t="str">
        <x:v>Escalation</x:v>
      </x:c>
    </x:row>
    <x:row r="4">
      <x:c r="A4" s="21" t="str">
        <x:v>Critical Residual Risks</x:v>
      </x:c>
      <x:c r="B4" s="22" t="n">
        <x:f>COUNTIF('Risk Register'!P2:P21,"Critical")</x:f>
        <x:v>0</x:v>
      </x:c>
      <x:c r="D4" s="30" t="str">
        <x:v>Critical</x:v>
      </x:c>
      <x:c r="E4" s="30" t="n">
        <x:f>COUNTIF('Risk Register'!P2:P21,"Critical")</x:f>
        <x:v>0</x:v>
      </x:c>
      <x:c r="F4" s="30" t="str">
        <x:v>Immediate leadership decision</x:v>
      </x:c>
      <x:c r="G4" s="30" t="str">
        <x:v>Escalate and fund</x:v>
      </x:c>
      <x:c r="H4" s="30" t="str">
        <x:v>Executive</x:v>
      </x:c>
    </x:row>
    <x:row r="5">
      <x:c r="A5" s="21" t="str">
        <x:v>High Residual Risks</x:v>
      </x:c>
      <x:c r="B5" s="22" t="n">
        <x:f>COUNTIF('Risk Register'!P2:P21,"High")</x:f>
        <x:v>14</x:v>
      </x:c>
      <x:c r="D5" s="31" t="str">
        <x:v>High</x:v>
      </x:c>
      <x:c r="E5" s="31" t="n">
        <x:f>COUNTIF('Risk Register'!P2:P21,"High")</x:f>
        <x:v>14</x:v>
      </x:c>
      <x:c r="F5" s="31" t="str">
        <x:v>Prioritized remediation</x:v>
      </x:c>
      <x:c r="G5" s="31" t="str">
        <x:v>Track to due date</x:v>
      </x:c>
      <x:c r="H5" s="31" t="str">
        <x:v>CISO / owner</x:v>
      </x:c>
    </x:row>
    <x:row r="6">
      <x:c r="A6" s="21" t="str">
        <x:v>Open / Planned Actions</x:v>
      </x:c>
      <x:c r="B6" s="22" t="n">
        <x:f>COUNTIF('Risk Register'!U2:U21,"&lt;&gt;Complete")</x:f>
        <x:v>20</x:v>
      </x:c>
      <x:c r="D6" s="31" t="str">
        <x:v>Medium</x:v>
      </x:c>
      <x:c r="E6" s="31" t="n">
        <x:f>COUNTIF('Risk Register'!P2:P21,"Medium")</x:f>
        <x:v>6</x:v>
      </x:c>
      <x:c r="F6" s="31" t="str">
        <x:v>Managed through plan</x:v>
      </x:c>
      <x:c r="G6" s="31" t="str">
        <x:v>Monitor</x:v>
      </x:c>
      <x:c r="H6" s="31" t="str">
        <x:v>Control owner</x:v>
      </x:c>
    </x:row>
    <x:row r="7">
      <x:c r="A7" s="21" t="str">
        <x:v>Top Residual Score</x:v>
      </x:c>
      <x:c r="B7" s="22" t="n">
        <x:f>MAX('Risk Register'!O2:O21)</x:f>
        <x:v>15</x:v>
      </x:c>
      <x:c r="D7" s="32" t="str">
        <x:v>Low</x:v>
      </x:c>
      <x:c r="E7" s="32" t="n">
        <x:f>COUNTIF('Risk Register'!P2:P21,"Low")</x:f>
        <x:v>0</x:v>
      </x:c>
      <x:c r="F7" s="32" t="str">
        <x:v>Routine monitoring</x:v>
      </x:c>
      <x:c r="G7" s="32" t="str">
        <x:v>Maintain</x:v>
      </x:c>
      <x:c r="H7" s="32" t="str">
        <x:v>Operational</x:v>
      </x:c>
    </x:row>
    <x:row r="8">
      <x:c r="A8" s="23" t="str">
        <x:v>Assessment Date</x:v>
      </x:c>
      <x:c r="B8" s="25" t="n">
        <x:v>46247</x:v>
      </x:c>
    </x:row>
    <x:row r="11">
      <x:c r="A11" s="27" t="str">
        <x:v>Top Residual Risks</x:v>
      </x:c>
      <x:c r="B11" s="28" t="str">
        <x:v>Business Process</x:v>
      </x:c>
      <x:c r="C11" s="28" t="str">
        <x:v>Asset</x:v>
      </x:c>
      <x:c r="D11" s="28" t="str">
        <x:v>Residual Score</x:v>
      </x:c>
      <x:c r="E11" s="28" t="str">
        <x:v>Residual Rating</x:v>
      </x:c>
      <x:c r="F11" s="28" t="str">
        <x:v>Treatment</x:v>
      </x:c>
      <x:c r="G11" s="28" t="str">
        <x:v>Owner</x:v>
      </x:c>
      <x:c r="H11" s="29" t="str">
        <x:v>Due Date</x:v>
      </x:c>
    </x:row>
    <x:row r="12">
      <x:c r="A12" s="30" t="str">
        <x:v>R-001</x:v>
      </x:c>
      <x:c r="B12" s="30" t="str">
        <x:v>Identity and Access Management</x:v>
      </x:c>
      <x:c r="C12" s="30" t="str">
        <x:v>Okta / Microsoft 365 / AWS Admin</x:v>
      </x:c>
      <x:c r="D12" s="30" t="n">
        <x:v>15</x:v>
      </x:c>
      <x:c r="E12" s="30" t="str">
        <x:v>High</x:v>
      </x:c>
      <x:c r="F12" s="30" t="str">
        <x:v>Mitigate</x:v>
      </x:c>
      <x:c r="G12" s="30" t="str">
        <x:v>VP of IT</x:v>
      </x:c>
      <x:c r="H12" s="33" t="n">
        <x:v>46310</x:v>
      </x:c>
    </x:row>
    <x:row r="13">
      <x:c r="A13" s="31" t="str">
        <x:v>R-002</x:v>
      </x:c>
      <x:c r="B13" s="31" t="str">
        <x:v>Business Continuity</x:v>
      </x:c>
      <x:c r="C13" s="31" t="str">
        <x:v>Production SaaS Platform</x:v>
      </x:c>
      <x:c r="D13" s="31" t="n">
        <x:v>15</x:v>
      </x:c>
      <x:c r="E13" s="31" t="str">
        <x:v>High</x:v>
      </x:c>
      <x:c r="F13" s="31" t="str">
        <x:v>Mitigate</x:v>
      </x:c>
      <x:c r="G13" s="31" t="str">
        <x:v>Director of Infrastructure</x:v>
      </x:c>
      <x:c r="H13" s="34" t="n">
        <x:v>46356</x:v>
      </x:c>
    </x:row>
    <x:row r="14">
      <x:c r="A14" s="31" t="str">
        <x:v>R-003</x:v>
      </x:c>
      <x:c r="B14" s="31" t="str">
        <x:v>Cloud Security</x:v>
      </x:c>
      <x:c r="C14" s="31" t="str">
        <x:v>AWS S3 / IAM / Network Configurations</x:v>
      </x:c>
      <x:c r="D14" s="31" t="n">
        <x:v>15</x:v>
      </x:c>
      <x:c r="E14" s="31" t="str">
        <x:v>High</x:v>
      </x:c>
      <x:c r="F14" s="31" t="str">
        <x:v>Mitigate</x:v>
      </x:c>
      <x:c r="G14" s="31" t="str">
        <x:v>Cloud Engineering Manager</x:v>
      </x:c>
      <x:c r="H14" s="34" t="n">
        <x:v>46326</x:v>
      </x:c>
    </x:row>
    <x:row r="15">
      <x:c r="A15" s="31" t="str">
        <x:v>R-007</x:v>
      </x:c>
      <x:c r="B15" s="31" t="str">
        <x:v>Third-Party Risk</x:v>
      </x:c>
      <x:c r="C15" s="31" t="str">
        <x:v>Customer Data Processors</x:v>
      </x:c>
      <x:c r="D15" s="31" t="n">
        <x:v>15</x:v>
      </x:c>
      <x:c r="E15" s="31" t="str">
        <x:v>High</x:v>
      </x:c>
      <x:c r="F15" s="31" t="str">
        <x:v>Mitigate</x:v>
      </x:c>
      <x:c r="G15" s="31" t="str">
        <x:v>GRC Lead</x:v>
      </x:c>
      <x:c r="H15" s="34" t="n">
        <x:v>46387</x:v>
      </x:c>
    </x:row>
    <x:row r="16">
      <x:c r="A16" s="32" t="str">
        <x:v>R-015</x:v>
      </x:c>
      <x:c r="B16" s="32" t="str">
        <x:v>Incident Response</x:v>
      </x:c>
      <x:c r="C16" s="32" t="str">
        <x:v>Enterprise Incident Process</x:v>
      </x:c>
      <x:c r="D16" s="32" t="n">
        <x:v>15</x:v>
      </x:c>
      <x:c r="E16" s="32" t="str">
        <x:v>High</x:v>
      </x:c>
      <x:c r="F16" s="32" t="str">
        <x:v>Mitigate</x:v>
      </x:c>
      <x:c r="G16" s="32" t="str">
        <x:v>CISO</x:v>
      </x:c>
      <x:c r="H16" s="35" t="n">
        <x:v>46341</x:v>
      </x:c>
    </x:row>
  </x:sheetData>
  <x:mergeCells>
    <x:mergeCell ref="A1:H1"/>
  </x:mergeCells>
  <x:conditionalFormatting sqref="D4:D7">
    <x:cfRule type="containsText" dxfId="0" priority="1" operator="containsText" text="Critical"/>
    <x:cfRule type="containsText" dxfId="1" priority="2" operator="containsText" text="High"/>
    <x:cfRule type="containsText" dxfId="2" priority="3" operator="containsText" text="Medium"/>
    <x:cfRule type="containsText" dxfId="3" priority="4" operator="containsText" text="Low"/>
  </x:conditionalFormatting>
  <x:conditionalFormatting sqref="E12:E16">
    <x:cfRule type="containsText" dxfId="4" priority="5" operator="containsText" text="Critical"/>
    <x:cfRule type="containsText" dxfId="5" priority="6" operator="containsText" text="High"/>
    <x:cfRule type="containsText" dxfId="6" priority="7" operator="containsText" text="Medium"/>
    <x:cfRule type="containsText" dxfId="7" priority="8" operator="containsText" text="Low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50" hidden="0" customWidth="1"/>
    <x:col min="4" max="4" width="4" hidden="0" customWidth="1"/>
    <x:col min="5" max="5" width="16" hidden="0" customWidth="1"/>
    <x:col min="6" max="6" width="18" hidden="0" customWidth="1"/>
    <x:col min="7" max="7" width="52" hidden="0" customWidth="1"/>
  </x:cols>
  <x:sheetData>
    <x:row r="1">
      <x:c r="A1" s="5" t="str">
        <x:v>Risk Scoring Methodology</x:v>
      </x:c>
      <x:c r="B1" s="5"/>
      <x:c r="C1" s="5"/>
      <x:c r="D1" s="5"/>
      <x:c r="E1" s="5"/>
      <x:c r="F1" s="5"/>
    </x:row>
    <x:row r="3">
      <x:c r="A3" s="27" t="str">
        <x:v>Likelihood</x:v>
      </x:c>
      <x:c r="B3" s="28" t="str">
        <x:v>Label</x:v>
      </x:c>
      <x:c r="C3" s="29" t="str">
        <x:v>Definition</x:v>
      </x:c>
      <x:c r="E3" s="27" t="str">
        <x:v>Impact</x:v>
      </x:c>
      <x:c r="F3" s="28" t="str">
        <x:v>Label</x:v>
      </x:c>
      <x:c r="G3" s="29" t="str">
        <x:v>Definition</x:v>
      </x:c>
    </x:row>
    <x:row r="4">
      <x:c r="A4" s="30" t="n">
        <x:v>1</x:v>
      </x:c>
      <x:c r="B4" s="30" t="str">
        <x:v>Rare</x:v>
      </x:c>
      <x:c r="C4" s="30" t="str">
        <x:v>Not expected, but possible under unusual circumstances</x:v>
      </x:c>
      <x:c r="E4" s="30" t="n">
        <x:v>1</x:v>
      </x:c>
      <x:c r="F4" s="30" t="str">
        <x:v>Minimal</x:v>
      </x:c>
      <x:c r="G4" s="30" t="str">
        <x:v>Limited internal inconvenience</x:v>
      </x:c>
    </x:row>
    <x:row r="5">
      <x:c r="A5" s="31" t="n">
        <x:v>2</x:v>
      </x:c>
      <x:c r="B5" s="31" t="str">
        <x:v>Unlikely</x:v>
      </x:c>
      <x:c r="C5" s="31" t="str">
        <x:v>Could occur, but not expected annually</x:v>
      </x:c>
      <x:c r="E5" s="31" t="n">
        <x:v>2</x:v>
      </x:c>
      <x:c r="F5" s="31" t="str">
        <x:v>Minor</x:v>
      </x:c>
      <x:c r="G5" s="31" t="str">
        <x:v>Some operational disruption or limited data exposure</x:v>
      </x:c>
    </x:row>
    <x:row r="6">
      <x:c r="A6" s="31" t="n">
        <x:v>3</x:v>
      </x:c>
      <x:c r="B6" s="31" t="str">
        <x:v>Possible</x:v>
      </x:c>
      <x:c r="C6" s="31" t="str">
        <x:v>Could occur within the next year</x:v>
      </x:c>
      <x:c r="E6" s="31" t="n">
        <x:v>3</x:v>
      </x:c>
      <x:c r="F6" s="31" t="str">
        <x:v>Moderate</x:v>
      </x:c>
      <x:c r="G6" s="31" t="str">
        <x:v>Material process disruption, customer impact, or audit finding</x:v>
      </x:c>
    </x:row>
    <x:row r="7">
      <x:c r="A7" s="31" t="n">
        <x:v>4</x:v>
      </x:c>
      <x:c r="B7" s="31" t="str">
        <x:v>Likely</x:v>
      </x:c>
      <x:c r="C7" s="31" t="str">
        <x:v>Expected or observed in comparable SaaS environments</x:v>
      </x:c>
      <x:c r="E7" s="31" t="n">
        <x:v>4</x:v>
      </x:c>
      <x:c r="F7" s="31" t="str">
        <x:v>Major</x:v>
      </x:c>
      <x:c r="G7" s="31" t="str">
        <x:v>Significant customer, legal, financial, or operational impact</x:v>
      </x:c>
    </x:row>
    <x:row r="8">
      <x:c r="A8" s="32" t="n">
        <x:v>5</x:v>
      </x:c>
      <x:c r="B8" s="32" t="str">
        <x:v>Almost Certain</x:v>
      </x:c>
      <x:c r="C8" s="32" t="str">
        <x:v>Expected repeatedly or already occurring</x:v>
      </x:c>
      <x:c r="E8" s="32" t="n">
        <x:v>5</x:v>
      </x:c>
      <x:c r="F8" s="32" t="str">
        <x:v>Severe</x:v>
      </x:c>
      <x:c r="G8" s="32" t="str">
        <x:v>Major breach, prolonged outage, regulatory exposure, or board-level impact</x:v>
      </x:c>
    </x:row>
    <x:row r="11">
      <x:c r="A11" s="27" t="str">
        <x:v>Score Range</x:v>
      </x:c>
      <x:c r="B11" s="28" t="str">
        <x:v>Rating</x:v>
      </x:c>
      <x:c r="C11" s="29" t="str">
        <x:v>Management Meaning</x:v>
      </x:c>
    </x:row>
    <x:row r="12">
      <x:c r="A12" s="30" t="str">
        <x:v>1-4</x:v>
      </x:c>
      <x:c r="B12" s="30" t="str">
        <x:v>Low</x:v>
      </x:c>
      <x:c r="C12" s="30" t="str">
        <x:v>Monitor through normal operations</x:v>
      </x:c>
    </x:row>
    <x:row r="13">
      <x:c r="A13" s="31" t="str">
        <x:v>5-9</x:v>
      </x:c>
      <x:c r="B13" s="31" t="str">
        <x:v>Medium</x:v>
      </x:c>
      <x:c r="C13" s="31" t="str">
        <x:v>Track with named owner</x:v>
      </x:c>
    </x:row>
    <x:row r="14">
      <x:c r="A14" s="31" t="str">
        <x:v>10-16</x:v>
      </x:c>
      <x:c r="B14" s="31" t="str">
        <x:v>High</x:v>
      </x:c>
      <x:c r="C14" s="31" t="str">
        <x:v>Prioritize remediation and report to leadership</x:v>
      </x:c>
    </x:row>
    <x:row r="15">
      <x:c r="A15" s="32" t="str">
        <x:v>17-25</x:v>
      </x:c>
      <x:c r="B15" s="32" t="str">
        <x:v>Critical</x:v>
      </x:c>
      <x:c r="C15" s="32" t="str">
        <x:v>Immediate leadership decision required</x:v>
      </x:c>
    </x:row>
  </x:sheetData>
  <x:mergeCells>
    <x:mergeCell ref="A1:F1"/>
  </x:mergeCells>
  <x:conditionalFormatting sqref="B12:B15">
    <x:cfRule type="containsText" dxfId="8" priority="1" operator="containsText" text="Critical"/>
    <x:cfRule type="containsText" dxfId="9" priority="2" operator="containsText" text="High"/>
    <x:cfRule type="containsText" dxfId="10" priority="3" operator="containsText" text="Medium"/>
    <x:cfRule type="containsText" dxfId="11" priority="4" operator="containsText" text="Low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20" hidden="0" customWidth="1"/>
    <x:col min="5" max="5" width="34" hidden="0" customWidth="1"/>
    <x:col min="6" max="6" width="5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30" hidden="0" customWidth="1"/>
    <x:col min="12" max="12" width="20" hidden="0" customWidth="1"/>
    <x:col min="13" max="13" width="14" hidden="0" customWidth="1"/>
    <x:col min="14" max="14" width="14" hidden="0" customWidth="1"/>
    <x:col min="15" max="15" width="14" hidden="0" customWidth="1"/>
    <x:col min="16" max="16" width="16" hidden="0" customWidth="1"/>
    <x:col min="17" max="17" width="14" hidden="0" customWidth="1"/>
    <x:col min="18" max="18" width="52" hidden="0" customWidth="1"/>
    <x:col min="19" max="19" width="24" hidden="0" customWidth="1"/>
    <x:col min="20" max="20" width="14" hidden="0" customWidth="1"/>
    <x:col min="21" max="21" width="16" hidden="0" customWidth="1"/>
    <x:col min="22" max="22" width="22" hidden="0" customWidth="1"/>
    <x:col min="23" max="23" width="18" hidden="0" customWidth="1"/>
    <x:col min="24" max="24" width="20" hidden="0" customWidth="1"/>
  </x:cols>
  <x:sheetData>
    <x:row r="1">
      <x:c r="A1" s="27" t="str">
        <x:v>Risk ID</x:v>
      </x:c>
      <x:c r="B1" s="28" t="str">
        <x:v>Business Process</x:v>
      </x:c>
      <x:c r="C1" s="28" t="str">
        <x:v>Asset</x:v>
      </x:c>
      <x:c r="D1" s="28" t="str">
        <x:v>Threat</x:v>
      </x:c>
      <x:c r="E1" s="28" t="str">
        <x:v>Vulnerability</x:v>
      </x:c>
      <x:c r="F1" s="28" t="str">
        <x:v>Risk Statement</x:v>
      </x:c>
      <x:c r="G1" s="28" t="str">
        <x:v>Inherent Likelihood</x:v>
      </x:c>
      <x:c r="H1" s="28" t="str">
        <x:v>Inherent Impact</x:v>
      </x:c>
      <x:c r="I1" s="28" t="str">
        <x:v>Inherent Score</x:v>
      </x:c>
      <x:c r="J1" s="28" t="str">
        <x:v>Inherent Rating</x:v>
      </x:c>
      <x:c r="K1" s="28" t="str">
        <x:v>Existing Controls</x:v>
      </x:c>
      <x:c r="L1" s="28" t="str">
        <x:v>Control Effectiveness</x:v>
      </x:c>
      <x:c r="M1" s="28" t="str">
        <x:v>Residual Likelihood</x:v>
      </x:c>
      <x:c r="N1" s="28" t="str">
        <x:v>Residual Impact</x:v>
      </x:c>
      <x:c r="O1" s="28" t="str">
        <x:v>Residual Score</x:v>
      </x:c>
      <x:c r="P1" s="28" t="str">
        <x:v>Residual Rating</x:v>
      </x:c>
      <x:c r="Q1" s="28" t="str">
        <x:v>Treatment</x:v>
      </x:c>
      <x:c r="R1" s="28" t="str">
        <x:v>Action Plan</x:v>
      </x:c>
      <x:c r="S1" s="28" t="str">
        <x:v>Risk Owner</x:v>
      </x:c>
      <x:c r="T1" s="28" t="str">
        <x:v>Due Date</x:v>
      </x:c>
      <x:c r="U1" s="28" t="str">
        <x:v>Status</x:v>
      </x:c>
      <x:c r="V1" s="28" t="str">
        <x:v>CSF Function</x:v>
      </x:c>
      <x:c r="W1" s="28" t="str">
        <x:v>NIST 800-53 Ref</x:v>
      </x:c>
      <x:c r="X1" s="29" t="str">
        <x:v>CIS / Other Ref</x:v>
      </x:c>
    </x:row>
    <x:row r="2">
      <x:c r="A2" s="30" t="str">
        <x:v>R-001</x:v>
      </x:c>
      <x:c r="B2" s="30" t="str">
        <x:v>Identity and Access Management</x:v>
      </x:c>
      <x:c r="C2" s="30" t="str">
        <x:v>Okta / Microsoft 365 / AWS Admin</x:v>
      </x:c>
      <x:c r="D2" s="30" t="str">
        <x:v>Credential theft</x:v>
      </x:c>
      <x:c r="E2" s="30" t="str">
        <x:v>Privileged MFA not consistently phishing-resistant</x:v>
      </x:c>
      <x:c r="F2" s="30" t="str">
        <x:v>Unauthorized privileged access may occur because administrator authentication is not consistently hardened, leading to customer data exposure or service disruption.</x:v>
      </x:c>
      <x:c r="G2" s="30" t="n">
        <x:v>5</x:v>
      </x:c>
      <x:c r="H2" s="30" t="n">
        <x:v>5</x:v>
      </x:c>
      <x:c r="I2" s="30" t="n">
        <x:f>G2*H2</x:f>
        <x:v>25</x:v>
      </x:c>
      <x:c r="J2" s="30" t="str">
        <x:f>IF(I2&gt;=17,"Critical",IF(I2&gt;=10,"High",IF(I2&gt;=5,"Medium","Low")))</x:f>
        <x:v>Critical</x:v>
      </x:c>
      <x:c r="K2" s="30" t="str">
        <x:v>MFA, SSO, audit logs</x:v>
      </x:c>
      <x:c r="L2" s="30" t="str">
        <x:v>Partially Effective</x:v>
      </x:c>
      <x:c r="M2" s="30" t="n">
        <x:v>3</x:v>
      </x:c>
      <x:c r="N2" s="30" t="n">
        <x:v>5</x:v>
      </x:c>
      <x:c r="O2" s="30" t="n">
        <x:f>M2*N2</x:f>
        <x:v>15</x:v>
      </x:c>
      <x:c r="P2" s="30" t="str">
        <x:f>IF(O2&gt;=17,"Critical",IF(O2&gt;=10,"High",IF(O2&gt;=5,"Medium","Low")))</x:f>
        <x:v>High</x:v>
      </x:c>
      <x:c r="Q2" s="30" t="str">
        <x:v>Mitigate</x:v>
      </x:c>
      <x:c r="R2" s="30" t="str">
        <x:v>Enforce phishing-resistant MFA for privileged accounts; complete quarterly privileged access review; remove stale admin accounts.</x:v>
      </x:c>
      <x:c r="S2" s="30" t="str">
        <x:v>VP of IT</x:v>
      </x:c>
      <x:c r="T2" s="33" t="n">
        <x:v>46310</x:v>
      </x:c>
      <x:c r="U2" s="30" t="str">
        <x:v>In Progress</x:v>
      </x:c>
      <x:c r="V2" s="30" t="str">
        <x:v>GOVERN, PROTECT</x:v>
      </x:c>
      <x:c r="W2" s="30" t="str">
        <x:v>AC-2, IA-2</x:v>
      </x:c>
      <x:c r="X2" s="30" t="str">
        <x:v>CIS 6, CIS 5</x:v>
      </x:c>
    </x:row>
    <x:row r="3">
      <x:c r="A3" s="31" t="str">
        <x:v>R-002</x:v>
      </x:c>
      <x:c r="B3" s="31" t="str">
        <x:v>Business Continuity</x:v>
      </x:c>
      <x:c r="C3" s="31" t="str">
        <x:v>Production SaaS Platform</x:v>
      </x:c>
      <x:c r="D3" s="31" t="str">
        <x:v>Ransomware</x:v>
      </x:c>
      <x:c r="E3" s="31" t="str">
        <x:v>Backup restoration not tested end-to-end</x:v>
      </x:c>
      <x:c r="F3" s="31" t="str">
        <x:v>Ransomware or destructive malware may disrupt operations because recovery procedures have not been fully validated.</x:v>
      </x:c>
      <x:c r="G3" s="31" t="n">
        <x:v>4</x:v>
      </x:c>
      <x:c r="H3" s="31" t="n">
        <x:v>5</x:v>
      </x:c>
      <x:c r="I3" s="31" t="n">
        <x:f>G3*H3</x:f>
        <x:v>20</x:v>
      </x:c>
      <x:c r="J3" s="31" t="str">
        <x:f>IF(I3&gt;=17,"Critical",IF(I3&gt;=10,"High",IF(I3&gt;=5,"Medium","Low")))</x:f>
        <x:v>Critical</x:v>
      </x:c>
      <x:c r="K3" s="31" t="str">
        <x:v>Endpoint protection, backups, logging</x:v>
      </x:c>
      <x:c r="L3" s="31" t="str">
        <x:v>Partially Effective</x:v>
      </x:c>
      <x:c r="M3" s="31" t="n">
        <x:v>3</x:v>
      </x:c>
      <x:c r="N3" s="31" t="n">
        <x:v>5</x:v>
      </x:c>
      <x:c r="O3" s="31" t="n">
        <x:f>M3*N3</x:f>
        <x:v>15</x:v>
      </x:c>
      <x:c r="P3" s="31" t="str">
        <x:f>IF(O3&gt;=17,"Critical",IF(O3&gt;=10,"High",IF(O3&gt;=5,"Medium","Low")))</x:f>
        <x:v>High</x:v>
      </x:c>
      <x:c r="Q3" s="31" t="str">
        <x:v>Mitigate</x:v>
      </x:c>
      <x:c r="R3" s="31" t="str">
        <x:v>Run backup restore test; confirm RTO/RPO; document executive recovery decision process.</x:v>
      </x:c>
      <x:c r="S3" s="31" t="str">
        <x:v>Director of Infrastructure</x:v>
      </x:c>
      <x:c r="T3" s="34" t="n">
        <x:v>46356</x:v>
      </x:c>
      <x:c r="U3" s="31" t="str">
        <x:v>Planned</x:v>
      </x:c>
      <x:c r="V3" s="31" t="str">
        <x:v>RESPOND, RECOVER</x:v>
      </x:c>
      <x:c r="W3" s="31" t="str">
        <x:v>CP-9, CP-10, IR-4</x:v>
      </x:c>
      <x:c r="X3" s="31" t="str">
        <x:v>CIS 11, CIS 17</x:v>
      </x:c>
    </x:row>
    <x:row r="4">
      <x:c r="A4" s="31" t="str">
        <x:v>R-003</x:v>
      </x:c>
      <x:c r="B4" s="31" t="str">
        <x:v>Cloud Security</x:v>
      </x:c>
      <x:c r="C4" s="31" t="str">
        <x:v>AWS S3 / IAM / Network Configurations</x:v>
      </x:c>
      <x:c r="D4" s="31" t="str">
        <x:v>Cloud misconfiguration</x:v>
      </x:c>
      <x:c r="E4" s="31" t="str">
        <x:v>Manual configuration review and inconsistent preventive guardrails</x:v>
      </x:c>
      <x:c r="F4" s="31" t="str">
        <x:v>Customer data may be exposed because cloud storage, network, or IAM settings could be misconfigured without timely detection.</x:v>
      </x:c>
      <x:c r="G4" s="31" t="n">
        <x:v>4</x:v>
      </x:c>
      <x:c r="H4" s="31" t="n">
        <x:v>5</x:v>
      </x:c>
      <x:c r="I4" s="31" t="n">
        <x:f>G4*H4</x:f>
        <x:v>20</x:v>
      </x:c>
      <x:c r="J4" s="31" t="str">
        <x:f>IF(I4&gt;=17,"Critical",IF(I4&gt;=10,"High",IF(I4&gt;=5,"Medium","Low")))</x:f>
        <x:v>Critical</x:v>
      </x:c>
      <x:c r="K4" s="31" t="str">
        <x:v>AWS IAM, logging, change review</x:v>
      </x:c>
      <x:c r="L4" s="31" t="str">
        <x:v>Partially Effective</x:v>
      </x:c>
      <x:c r="M4" s="31" t="n">
        <x:v>3</x:v>
      </x:c>
      <x:c r="N4" s="31" t="n">
        <x:v>5</x:v>
      </x:c>
      <x:c r="O4" s="31" t="n">
        <x:f>M4*N4</x:f>
        <x:v>15</x:v>
      </x:c>
      <x:c r="P4" s="31" t="str">
        <x:f>IF(O4&gt;=17,"Critical",IF(O4&gt;=10,"High",IF(O4&gt;=5,"Medium","Low")))</x:f>
        <x:v>High</x:v>
      </x:c>
      <x:c r="Q4" s="31" t="str">
        <x:v>Mitigate</x:v>
      </x:c>
      <x:c r="R4" s="31" t="str">
        <x:v>Implement cloud configuration monitoring; require security review for infrastructure changes; review public exposure alerts monthly.</x:v>
      </x:c>
      <x:c r="S4" s="31" t="str">
        <x:v>Cloud Engineering Manager</x:v>
      </x:c>
      <x:c r="T4" s="34" t="n">
        <x:v>46326</x:v>
      </x:c>
      <x:c r="U4" s="31" t="str">
        <x:v>In Progress</x:v>
      </x:c>
      <x:c r="V4" s="31" t="str">
        <x:v>IDENTIFY, PROTECT, DETECT</x:v>
      </x:c>
      <x:c r="W4" s="31" t="str">
        <x:v>CM-2, AC-3, SI-4</x:v>
      </x:c>
      <x:c r="X4" s="31" t="str">
        <x:v>CIS 4, CIS 12</x:v>
      </x:c>
    </x:row>
    <x:row r="5">
      <x:c r="A5" s="31" t="str">
        <x:v>R-004</x:v>
      </x:c>
      <x:c r="B5" s="31" t="str">
        <x:v>Access Governance</x:v>
      </x:c>
      <x:c r="C5" s="31" t="str">
        <x:v>SaaS Applications</x:v>
      </x:c>
      <x:c r="D5" s="31" t="str">
        <x:v>Excessive privileges</x:v>
      </x:c>
      <x:c r="E5" s="31" t="str">
        <x:v>Access reviews are inconsistent across business applications</x:v>
      </x:c>
      <x:c r="F5" s="31" t="str">
        <x:v>Employees may retain excessive privileges because access is not reviewed consistently across SaaS applications.</x:v>
      </x:c>
      <x:c r="G5" s="31" t="n">
        <x:v>4</x:v>
      </x:c>
      <x:c r="H5" s="31" t="n">
        <x:v>4</x:v>
      </x:c>
      <x:c r="I5" s="31" t="n">
        <x:f>G5*H5</x:f>
        <x:v>16</x:v>
      </x:c>
      <x:c r="J5" s="31" t="str">
        <x:f>IF(I5&gt;=17,"Critical",IF(I5&gt;=10,"High",IF(I5&gt;=5,"Medium","Low")))</x:f>
        <x:v>High</x:v>
      </x:c>
      <x:c r="K5" s="31" t="str">
        <x:v>Manager approvals, SSO groups</x:v>
      </x:c>
      <x:c r="L5" s="31" t="str">
        <x:v>Partially Effective</x:v>
      </x:c>
      <x:c r="M5" s="31" t="n">
        <x:v>3</x:v>
      </x:c>
      <x:c r="N5" s="31" t="n">
        <x:v>4</x:v>
      </x:c>
      <x:c r="O5" s="31" t="n">
        <x:f>M5*N5</x:f>
        <x:v>12</x:v>
      </x:c>
      <x:c r="P5" s="31" t="str">
        <x:f>IF(O5&gt;=17,"Critical",IF(O5&gt;=10,"High",IF(O5&gt;=5,"Medium","Low")))</x:f>
        <x:v>High</x:v>
      </x:c>
      <x:c r="Q5" s="31" t="str">
        <x:v>Mitigate</x:v>
      </x:c>
      <x:c r="R5" s="31" t="str">
        <x:v>Define app owners; conduct quarterly access reviews for critical SaaS apps; track exceptions.</x:v>
      </x:c>
      <x:c r="S5" s="31" t="str">
        <x:v>GRC Lead</x:v>
      </x:c>
      <x:c r="T5" s="34" t="n">
        <x:v>46371</x:v>
      </x:c>
      <x:c r="U5" s="31" t="str">
        <x:v>Planned</x:v>
      </x:c>
      <x:c r="V5" s="31" t="str">
        <x:v>GOVERN, PROTECT</x:v>
      </x:c>
      <x:c r="W5" s="31" t="str">
        <x:v>AC-2, AC-6</x:v>
      </x:c>
      <x:c r="X5" s="31" t="str">
        <x:v>CIS 5, CIS 6</x:v>
      </x:c>
    </x:row>
    <x:row r="6">
      <x:c r="A6" s="31" t="str">
        <x:v>R-005</x:v>
      </x:c>
      <x:c r="B6" s="31" t="str">
        <x:v>Joiner-Mover-Leaver</x:v>
      </x:c>
      <x:c r="C6" s="31" t="str">
        <x:v>Okta / SaaS Apps</x:v>
      </x:c>
      <x:c r="D6" s="31" t="str">
        <x:v>Former employee access</x:v>
      </x:c>
      <x:c r="E6" s="31" t="str">
        <x:v>Offboarding evidence is not centrally retained</x:v>
      </x:c>
      <x:c r="F6" s="31" t="str">
        <x:v>Terminated users may retain access because account removal evidence is incomplete across connected SaaS systems.</x:v>
      </x:c>
      <x:c r="G6" s="31" t="n">
        <x:v>3</x:v>
      </x:c>
      <x:c r="H6" s="31" t="n">
        <x:v>4</x:v>
      </x:c>
      <x:c r="I6" s="31" t="n">
        <x:f>G6*H6</x:f>
        <x:v>12</x:v>
      </x:c>
      <x:c r="J6" s="31" t="str">
        <x:f>IF(I6&gt;=17,"Critical",IF(I6&gt;=10,"High",IF(I6&gt;=5,"Medium","Low")))</x:f>
        <x:v>High</x:v>
      </x:c>
      <x:c r="K6" s="31" t="str">
        <x:v>HR ticketing, SSO deactivation</x:v>
      </x:c>
      <x:c r="L6" s="31" t="str">
        <x:v>Partially Effective</x:v>
      </x:c>
      <x:c r="M6" s="31" t="n">
        <x:v>2</x:v>
      </x:c>
      <x:c r="N6" s="31" t="n">
        <x:v>4</x:v>
      </x:c>
      <x:c r="O6" s="31" t="n">
        <x:f>M6*N6</x:f>
        <x:v>8</x:v>
      </x:c>
      <x:c r="P6" s="31" t="str">
        <x:f>IF(O6&gt;=17,"Critical",IF(O6&gt;=10,"High",IF(O6&gt;=5,"Medium","Low")))</x:f>
        <x:v>Medium</x:v>
      </x:c>
      <x:c r="Q6" s="31" t="str">
        <x:v>Mitigate</x:v>
      </x:c>
      <x:c r="R6" s="31" t="str">
        <x:v>Automate deprovisioning checklist; sample monthly terminations; retain evidence.</x:v>
      </x:c>
      <x:c r="S6" s="31" t="str">
        <x:v>People Operations Manager</x:v>
      </x:c>
      <x:c r="T6" s="34" t="n">
        <x:v>46295</x:v>
      </x:c>
      <x:c r="U6" s="31" t="str">
        <x:v>In Progress</x:v>
      </x:c>
      <x:c r="V6" s="31" t="str">
        <x:v>PROTECT</x:v>
      </x:c>
      <x:c r="W6" s="31" t="str">
        <x:v>AC-2, PS-4</x:v>
      </x:c>
      <x:c r="X6" s="31" t="str">
        <x:v>CIS 5</x:v>
      </x:c>
    </x:row>
    <x:row r="7">
      <x:c r="A7" s="31" t="str">
        <x:v>R-006</x:v>
      </x:c>
      <x:c r="B7" s="31" t="str">
        <x:v>Vendor Management</x:v>
      </x:c>
      <x:c r="C7" s="31" t="str">
        <x:v>Critical SaaS Vendors</x:v>
      </x:c>
      <x:c r="D7" s="31" t="str">
        <x:v>Vendor outage</x:v>
      </x:c>
      <x:c r="E7" s="31" t="str">
        <x:v>Critical vendor continuity requirements not reviewed annually</x:v>
      </x:c>
      <x:c r="F7" s="31" t="str">
        <x:v>A critical SaaS vendor outage may disrupt customer support or operations because continuity expectations are not reviewed.</x:v>
      </x:c>
      <x:c r="G7" s="31" t="n">
        <x:v>3</x:v>
      </x:c>
      <x:c r="H7" s="31" t="n">
        <x:v>4</x:v>
      </x:c>
      <x:c r="I7" s="31" t="n">
        <x:f>G7*H7</x:f>
        <x:v>12</x:v>
      </x:c>
      <x:c r="J7" s="31" t="str">
        <x:f>IF(I7&gt;=17,"Critical",IF(I7&gt;=10,"High",IF(I7&gt;=5,"Medium","Low")))</x:f>
        <x:v>High</x:v>
      </x:c>
      <x:c r="K7" s="31" t="str">
        <x:v>Vendor contracts, status pages</x:v>
      </x:c>
      <x:c r="L7" s="31" t="str">
        <x:v>Partially Effective</x:v>
      </x:c>
      <x:c r="M7" s="31" t="n">
        <x:v>3</x:v>
      </x:c>
      <x:c r="N7" s="31" t="n">
        <x:v>3</x:v>
      </x:c>
      <x:c r="O7" s="31" t="n">
        <x:f>M7*N7</x:f>
        <x:v>9</x:v>
      </x:c>
      <x:c r="P7" s="31" t="str">
        <x:f>IF(O7&gt;=17,"Critical",IF(O7&gt;=10,"High",IF(O7&gt;=5,"Medium","Low")))</x:f>
        <x:v>Medium</x:v>
      </x:c>
      <x:c r="Q7" s="31" t="str">
        <x:v>Transfer / Mitigate</x:v>
      </x:c>
      <x:c r="R7" s="31" t="str">
        <x:v>Tier vendors; document continuity requirements; review SOC reports and BCP statements annually.</x:v>
      </x:c>
      <x:c r="S7" s="31" t="str">
        <x:v>Procurement Manager</x:v>
      </x:c>
      <x:c r="T7" s="34" t="n">
        <x:v>46402</x:v>
      </x:c>
      <x:c r="U7" s="31" t="str">
        <x:v>Not Started</x:v>
      </x:c>
      <x:c r="V7" s="31" t="str">
        <x:v>GOVERN, IDENTIFY</x:v>
      </x:c>
      <x:c r="W7" s="31" t="str">
        <x:v>SR-3, CP-2</x:v>
      </x:c>
      <x:c r="X7" s="31" t="str">
        <x:v>CIS 15</x:v>
      </x:c>
    </x:row>
    <x:row r="8">
      <x:c r="A8" s="31" t="str">
        <x:v>R-007</x:v>
      </x:c>
      <x:c r="B8" s="31" t="str">
        <x:v>Third-Party Risk</x:v>
      </x:c>
      <x:c r="C8" s="31" t="str">
        <x:v>Customer Data Processors</x:v>
      </x:c>
      <x:c r="D8" s="31" t="str">
        <x:v>Third-party breach</x:v>
      </x:c>
      <x:c r="E8" s="31" t="str">
        <x:v>Vendor security reviews are inconsistent by risk tier</x:v>
      </x:c>
      <x:c r="F8" s="31" t="str">
        <x:v>Customer data may be exposed through a vendor breach because critical vendors are not assessed with consistent due diligence.</x:v>
      </x:c>
      <x:c r="G8" s="31" t="n">
        <x:v>4</x:v>
      </x:c>
      <x:c r="H8" s="31" t="n">
        <x:v>5</x:v>
      </x:c>
      <x:c r="I8" s="31" t="n">
        <x:f>G8*H8</x:f>
        <x:v>20</x:v>
      </x:c>
      <x:c r="J8" s="31" t="str">
        <x:f>IF(I8&gt;=17,"Critical",IF(I8&gt;=10,"High",IF(I8&gt;=5,"Medium","Low")))</x:f>
        <x:v>Critical</x:v>
      </x:c>
      <x:c r="K8" s="31" t="str">
        <x:v>Contract review, limited questionnaires</x:v>
      </x:c>
      <x:c r="L8" s="31" t="str">
        <x:v>Partially Effective</x:v>
      </x:c>
      <x:c r="M8" s="31" t="n">
        <x:v>3</x:v>
      </x:c>
      <x:c r="N8" s="31" t="n">
        <x:v>5</x:v>
      </x:c>
      <x:c r="O8" s="31" t="n">
        <x:f>M8*N8</x:f>
        <x:v>15</x:v>
      </x:c>
      <x:c r="P8" s="31" t="str">
        <x:f>IF(O8&gt;=17,"Critical",IF(O8&gt;=10,"High",IF(O8&gt;=5,"Medium","Low")))</x:f>
        <x:v>High</x:v>
      </x:c>
      <x:c r="Q8" s="31" t="str">
        <x:v>Mitigate</x:v>
      </x:c>
      <x:c r="R8" s="31" t="str">
        <x:v>Implement NIST SP 800-161-aligned vendor tiering; require annual critical vendor reviews.</x:v>
      </x:c>
      <x:c r="S8" s="31" t="str">
        <x:v>GRC Lead</x:v>
      </x:c>
      <x:c r="T8" s="34" t="n">
        <x:v>46387</x:v>
      </x:c>
      <x:c r="U8" s="31" t="str">
        <x:v>Planned</x:v>
      </x:c>
      <x:c r="V8" s="31" t="str">
        <x:v>GOVERN, IDENTIFY</x:v>
      </x:c>
      <x:c r="W8" s="31" t="str">
        <x:v>SR-3, SR-6</x:v>
      </x:c>
      <x:c r="X8" s="31" t="str">
        <x:v>CIS 15</x:v>
      </x:c>
    </x:row>
    <x:row r="9">
      <x:c r="A9" s="31" t="str">
        <x:v>R-008</x:v>
      </x:c>
      <x:c r="B9" s="31" t="str">
        <x:v>Data Protection</x:v>
      </x:c>
      <x:c r="C9" s="31" t="str">
        <x:v>Backups / Data Stores</x:v>
      </x:c>
      <x:c r="D9" s="31" t="str">
        <x:v>Backup failure</x:v>
      </x:c>
      <x:c r="E9" s="31" t="str">
        <x:v>Backup monitoring lacks periodic restore evidence</x:v>
      </x:c>
      <x:c r="F9" s="31" t="str">
        <x:v>Critical data may not be recoverable because backups are monitored but restoration is not periodically evidenced.</x:v>
      </x:c>
      <x:c r="G9" s="31" t="n">
        <x:v>3</x:v>
      </x:c>
      <x:c r="H9" s="31" t="n">
        <x:v>5</x:v>
      </x:c>
      <x:c r="I9" s="31" t="n">
        <x:f>G9*H9</x:f>
        <x:v>15</x:v>
      </x:c>
      <x:c r="J9" s="31" t="str">
        <x:f>IF(I9&gt;=17,"Critical",IF(I9&gt;=10,"High",IF(I9&gt;=5,"Medium","Low")))</x:f>
        <x:v>High</x:v>
      </x:c>
      <x:c r="K9" s="31" t="str">
        <x:v>Automated backups</x:v>
      </x:c>
      <x:c r="L9" s="31" t="str">
        <x:v>Partially Effective</x:v>
      </x:c>
      <x:c r="M9" s="31" t="n">
        <x:v>2</x:v>
      </x:c>
      <x:c r="N9" s="31" t="n">
        <x:v>5</x:v>
      </x:c>
      <x:c r="O9" s="31" t="n">
        <x:f>M9*N9</x:f>
        <x:v>10</x:v>
      </x:c>
      <x:c r="P9" s="31" t="str">
        <x:f>IF(O9&gt;=17,"Critical",IF(O9&gt;=10,"High",IF(O9&gt;=5,"Medium","Low")))</x:f>
        <x:v>High</x:v>
      </x:c>
      <x:c r="Q9" s="31" t="str">
        <x:v>Mitigate</x:v>
      </x:c>
      <x:c r="R9" s="31" t="str">
        <x:v>Schedule quarterly restore testing and document results.</x:v>
      </x:c>
      <x:c r="S9" s="31" t="str">
        <x:v>Director of Infrastructure</x:v>
      </x:c>
      <x:c r="T9" s="34" t="n">
        <x:v>46356</x:v>
      </x:c>
      <x:c r="U9" s="31" t="str">
        <x:v>Planned</x:v>
      </x:c>
      <x:c r="V9" s="31" t="str">
        <x:v>RECOVER</x:v>
      </x:c>
      <x:c r="W9" s="31" t="str">
        <x:v>CP-9, CP-10</x:v>
      </x:c>
      <x:c r="X9" s="31" t="str">
        <x:v>CIS 11</x:v>
      </x:c>
    </x:row>
    <x:row r="10">
      <x:c r="A10" s="31" t="str">
        <x:v>R-009</x:v>
      </x:c>
      <x:c r="B10" s="31" t="str">
        <x:v>Vulnerability Management</x:v>
      </x:c>
      <x:c r="C10" s="31" t="str">
        <x:v>Production Systems</x:v>
      </x:c>
      <x:c r="D10" s="31" t="str">
        <x:v>Known vulnerability exploitation</x:v>
      </x:c>
      <x:c r="E10" s="31" t="str">
        <x:v>Remediation SLAs are not consistently enforced</x:v>
      </x:c>
      <x:c r="F10" s="31" t="str">
        <x:v>Attackers may exploit known vulnerabilities because critical findings do not always meet remediation SLAs.</x:v>
      </x:c>
      <x:c r="G10" s="31" t="n">
        <x:v>4</x:v>
      </x:c>
      <x:c r="H10" s="31" t="n">
        <x:v>4</x:v>
      </x:c>
      <x:c r="I10" s="31" t="n">
        <x:f>G10*H10</x:f>
        <x:v>16</x:v>
      </x:c>
      <x:c r="J10" s="31" t="str">
        <x:f>IF(I10&gt;=17,"Critical",IF(I10&gt;=10,"High",IF(I10&gt;=5,"Medium","Low")))</x:f>
        <x:v>High</x:v>
      </x:c>
      <x:c r="K10" s="31" t="str">
        <x:v>Scanning, patching</x:v>
      </x:c>
      <x:c r="L10" s="31" t="str">
        <x:v>Partially Effective</x:v>
      </x:c>
      <x:c r="M10" s="31" t="n">
        <x:v>3</x:v>
      </x:c>
      <x:c r="N10" s="31" t="n">
        <x:v>4</x:v>
      </x:c>
      <x:c r="O10" s="31" t="n">
        <x:f>M10*N10</x:f>
        <x:v>12</x:v>
      </x:c>
      <x:c r="P10" s="31" t="str">
        <x:f>IF(O10&gt;=17,"Critical",IF(O10&gt;=10,"High",IF(O10&gt;=5,"Medium","Low")))</x:f>
        <x:v>High</x:v>
      </x:c>
      <x:c r="Q10" s="31" t="str">
        <x:v>Mitigate</x:v>
      </x:c>
      <x:c r="R10" s="31" t="str">
        <x:v>Approve remediation SLA; report overdue critical vulnerabilities; document risk exceptions.</x:v>
      </x:c>
      <x:c r="S10" s="31" t="str">
        <x:v>Security Engineer</x:v>
      </x:c>
      <x:c r="T10" s="34" t="n">
        <x:v>46326</x:v>
      </x:c>
      <x:c r="U10" s="31" t="str">
        <x:v>In Progress</x:v>
      </x:c>
      <x:c r="V10" s="31" t="str">
        <x:v>IDENTIFY, PROTECT</x:v>
      </x:c>
      <x:c r="W10" s="31" t="str">
        <x:v>RA-5, SI-2</x:v>
      </x:c>
      <x:c r="X10" s="31" t="str">
        <x:v>CIS 7</x:v>
      </x:c>
    </x:row>
    <x:row r="11">
      <x:c r="A11" s="31" t="str">
        <x:v>R-010</x:v>
      </x:c>
      <x:c r="B11" s="31" t="str">
        <x:v>Email Security</x:v>
      </x:c>
      <x:c r="C11" s="31" t="str">
        <x:v>Microsoft 365</x:v>
      </x:c>
      <x:c r="D11" s="31" t="str">
        <x:v>Phishing / BEC</x:v>
      </x:c>
      <x:c r="E11" s="31" t="str">
        <x:v>User reporting and simulation metrics are immature</x:v>
      </x:c>
      <x:c r="F11" s="31" t="str">
        <x:v>Business email compromise may occur because phishing resilience and reporting metrics are not mature.</x:v>
      </x:c>
      <x:c r="G11" s="31" t="n">
        <x:v>4</x:v>
      </x:c>
      <x:c r="H11" s="31" t="n">
        <x:v>4</x:v>
      </x:c>
      <x:c r="I11" s="31" t="n">
        <x:f>G11*H11</x:f>
        <x:v>16</x:v>
      </x:c>
      <x:c r="J11" s="31" t="str">
        <x:f>IF(I11&gt;=17,"Critical",IF(I11&gt;=10,"High",IF(I11&gt;=5,"Medium","Low")))</x:f>
        <x:v>High</x:v>
      </x:c>
      <x:c r="K11" s="31" t="str">
        <x:v>Email filtering, MFA, awareness training</x:v>
      </x:c>
      <x:c r="L11" s="31" t="str">
        <x:v>Partially Effective</x:v>
      </x:c>
      <x:c r="M11" s="31" t="n">
        <x:v>3</x:v>
      </x:c>
      <x:c r="N11" s="31" t="n">
        <x:v>4</x:v>
      </x:c>
      <x:c r="O11" s="31" t="n">
        <x:f>M11*N11</x:f>
        <x:v>12</x:v>
      </x:c>
      <x:c r="P11" s="31" t="str">
        <x:f>IF(O11&gt;=17,"Critical",IF(O11&gt;=10,"High",IF(O11&gt;=5,"Medium","Low")))</x:f>
        <x:v>High</x:v>
      </x:c>
      <x:c r="Q11" s="31" t="str">
        <x:v>Mitigate</x:v>
      </x:c>
      <x:c r="R11" s="31" t="str">
        <x:v>Run quarterly phishing simulation; track reporting rate; tune mailbox protections.</x:v>
      </x:c>
      <x:c r="S11" s="31" t="str">
        <x:v>Security Awareness Owner</x:v>
      </x:c>
      <x:c r="T11" s="34" t="n">
        <x:v>46357</x:v>
      </x:c>
      <x:c r="U11" s="31" t="str">
        <x:v>Planned</x:v>
      </x:c>
      <x:c r="V11" s="31" t="str">
        <x:v>PROTECT, DETECT</x:v>
      </x:c>
      <x:c r="W11" s="31" t="str">
        <x:v>AT-2, SI-4</x:v>
      </x:c>
      <x:c r="X11" s="31" t="str">
        <x:v>CIS 14, CIS 9</x:v>
      </x:c>
    </x:row>
    <x:row r="12">
      <x:c r="A12" s="31" t="str">
        <x:v>R-011</x:v>
      </x:c>
      <x:c r="B12" s="31" t="str">
        <x:v>Secure SDLC</x:v>
      </x:c>
      <x:c r="C12" s="31" t="str">
        <x:v>GitHub Repositories</x:v>
      </x:c>
      <x:c r="D12" s="31" t="str">
        <x:v>Source-code exposure</x:v>
      </x:c>
      <x:c r="E12" s="31" t="str">
        <x:v>Repository access and secret scanning exceptions not centrally reviewed</x:v>
      </x:c>
      <x:c r="F12" s="31" t="str">
        <x:v>Source code or secrets may be exposed because repository access and secret scanning exceptions are not consistently reviewed.</x:v>
      </x:c>
      <x:c r="G12" s="31" t="n">
        <x:v>3</x:v>
      </x:c>
      <x:c r="H12" s="31" t="n">
        <x:v>5</x:v>
      </x:c>
      <x:c r="I12" s="31" t="n">
        <x:f>G12*H12</x:f>
        <x:v>15</x:v>
      </x:c>
      <x:c r="J12" s="31" t="str">
        <x:f>IF(I12&gt;=17,"Critical",IF(I12&gt;=10,"High",IF(I12&gt;=5,"Medium","Low")))</x:f>
        <x:v>High</x:v>
      </x:c>
      <x:c r="K12" s="31" t="str">
        <x:v>GitHub access controls, branch protection</x:v>
      </x:c>
      <x:c r="L12" s="31" t="str">
        <x:v>Partially Effective</x:v>
      </x:c>
      <x:c r="M12" s="31" t="n">
        <x:v>2</x:v>
      </x:c>
      <x:c r="N12" s="31" t="n">
        <x:v>5</x:v>
      </x:c>
      <x:c r="O12" s="31" t="n">
        <x:f>M12*N12</x:f>
        <x:v>10</x:v>
      </x:c>
      <x:c r="P12" s="31" t="str">
        <x:f>IF(O12&gt;=17,"Critical",IF(O12&gt;=10,"High",IF(O12&gt;=5,"Medium","Low")))</x:f>
        <x:v>High</x:v>
      </x:c>
      <x:c r="Q12" s="31" t="str">
        <x:v>Mitigate</x:v>
      </x:c>
      <x:c r="R12" s="31" t="str">
        <x:v>Review repo access quarterly; enforce secret scanning; document exceptions.</x:v>
      </x:c>
      <x:c r="S12" s="31" t="str">
        <x:v>Engineering Manager</x:v>
      </x:c>
      <x:c r="T12" s="34" t="n">
        <x:v>46341</x:v>
      </x:c>
      <x:c r="U12" s="31" t="str">
        <x:v>Planned</x:v>
      </x:c>
      <x:c r="V12" s="31" t="str">
        <x:v>PROTECT, DETECT</x:v>
      </x:c>
      <x:c r="W12" s="31" t="str">
        <x:v>SA-10, CM-5</x:v>
      </x:c>
      <x:c r="X12" s="31" t="str">
        <x:v>CIS 16</x:v>
      </x:c>
    </x:row>
    <x:row r="13">
      <x:c r="A13" s="31" t="str">
        <x:v>R-012</x:v>
      </x:c>
      <x:c r="B13" s="31" t="str">
        <x:v>Security Monitoring</x:v>
      </x:c>
      <x:c r="C13" s="31" t="str">
        <x:v>Cloud and SaaS Logs</x:v>
      </x:c>
      <x:c r="D13" s="31" t="str">
        <x:v>Insufficient logging</x:v>
      </x:c>
      <x:c r="E13" s="31" t="str">
        <x:v>Log coverage and alert ownership are not formally mapped</x:v>
      </x:c>
      <x:c r="F13" s="31" t="str">
        <x:v>Security incidents may go undetected because key logs and alert owners are not fully documented.</x:v>
      </x:c>
      <x:c r="G13" s="31" t="n">
        <x:v>4</x:v>
      </x:c>
      <x:c r="H13" s="31" t="n">
        <x:v>4</x:v>
      </x:c>
      <x:c r="I13" s="31" t="n">
        <x:f>G13*H13</x:f>
        <x:v>16</x:v>
      </x:c>
      <x:c r="J13" s="31" t="str">
        <x:f>IF(I13&gt;=17,"Critical",IF(I13&gt;=10,"High",IF(I13&gt;=5,"Medium","Low")))</x:f>
        <x:v>High</x:v>
      </x:c>
      <x:c r="K13" s="31" t="str">
        <x:v>Cloud logs, SaaS logs, endpoint telemetry</x:v>
      </x:c>
      <x:c r="L13" s="31" t="str">
        <x:v>Partially Effective</x:v>
      </x:c>
      <x:c r="M13" s="31" t="n">
        <x:v>3</x:v>
      </x:c>
      <x:c r="N13" s="31" t="n">
        <x:v>4</x:v>
      </x:c>
      <x:c r="O13" s="31" t="n">
        <x:f>M13*N13</x:f>
        <x:v>12</x:v>
      </x:c>
      <x:c r="P13" s="31" t="str">
        <x:f>IF(O13&gt;=17,"Critical",IF(O13&gt;=10,"High",IF(O13&gt;=5,"Medium","Low")))</x:f>
        <x:v>High</x:v>
      </x:c>
      <x:c r="Q13" s="31" t="str">
        <x:v>Mitigate</x:v>
      </x:c>
      <x:c r="R13" s="31" t="str">
        <x:v>Map critical logs; define alert owners; test alert routing monthly.</x:v>
      </x:c>
      <x:c r="S13" s="31" t="str">
        <x:v>Security Operations Lead</x:v>
      </x:c>
      <x:c r="T13" s="34" t="n">
        <x:v>46326</x:v>
      </x:c>
      <x:c r="U13" s="31" t="str">
        <x:v>In Progress</x:v>
      </x:c>
      <x:c r="V13" s="31" t="str">
        <x:v>DETECT</x:v>
      </x:c>
      <x:c r="W13" s="31" t="str">
        <x:v>AU-6, SI-4</x:v>
      </x:c>
      <x:c r="X13" s="31" t="str">
        <x:v>CIS 8</x:v>
      </x:c>
    </x:row>
    <x:row r="14">
      <x:c r="A14" s="31" t="str">
        <x:v>R-013</x:v>
      </x:c>
      <x:c r="B14" s="31" t="str">
        <x:v>Patch Management</x:v>
      </x:c>
      <x:c r="C14" s="31" t="str">
        <x:v>Endpoints / Servers</x:v>
      </x:c>
      <x:c r="D14" s="31" t="str">
        <x:v>Unpatched critical vulnerability</x:v>
      </x:c>
      <x:c r="E14" s="31" t="str">
        <x:v>Patch compliance evidence is incomplete</x:v>
      </x:c>
      <x:c r="F14" s="31" t="str">
        <x:v>Critical vulnerabilities may remain exploitable because patch compliance is not consistently evidenced.</x:v>
      </x:c>
      <x:c r="G14" s="31" t="n">
        <x:v>4</x:v>
      </x:c>
      <x:c r="H14" s="31" t="n">
        <x:v>4</x:v>
      </x:c>
      <x:c r="I14" s="31" t="n">
        <x:f>G14*H14</x:f>
        <x:v>16</x:v>
      </x:c>
      <x:c r="J14" s="31" t="str">
        <x:f>IF(I14&gt;=17,"Critical",IF(I14&gt;=10,"High",IF(I14&gt;=5,"Medium","Low")))</x:f>
        <x:v>High</x:v>
      </x:c>
      <x:c r="K14" s="31" t="str">
        <x:v>Endpoint management, scanning</x:v>
      </x:c>
      <x:c r="L14" s="31" t="str">
        <x:v>Partially Effective</x:v>
      </x:c>
      <x:c r="M14" s="31" t="n">
        <x:v>3</x:v>
      </x:c>
      <x:c r="N14" s="31" t="n">
        <x:v>4</x:v>
      </x:c>
      <x:c r="O14" s="31" t="n">
        <x:f>M14*N14</x:f>
        <x:v>12</x:v>
      </x:c>
      <x:c r="P14" s="31" t="str">
        <x:f>IF(O14&gt;=17,"Critical",IF(O14&gt;=10,"High",IF(O14&gt;=5,"Medium","Low")))</x:f>
        <x:v>High</x:v>
      </x:c>
      <x:c r="Q14" s="31" t="str">
        <x:v>Mitigate</x:v>
      </x:c>
      <x:c r="R14" s="31" t="str">
        <x:v>Create monthly patch compliance report and exception workflow.</x:v>
      </x:c>
      <x:c r="S14" s="31" t="str">
        <x:v>IT Operations Manager</x:v>
      </x:c>
      <x:c r="T14" s="34" t="n">
        <x:v>46310</x:v>
      </x:c>
      <x:c r="U14" s="31" t="str">
        <x:v>In Progress</x:v>
      </x:c>
      <x:c r="V14" s="31" t="str">
        <x:v>PROTECT</x:v>
      </x:c>
      <x:c r="W14" s="31" t="str">
        <x:v>SI-2</x:v>
      </x:c>
      <x:c r="X14" s="31" t="str">
        <x:v>CIS 7</x:v>
      </x:c>
    </x:row>
    <x:row r="15">
      <x:c r="A15" s="31" t="str">
        <x:v>R-014</x:v>
      </x:c>
      <x:c r="B15" s="31" t="str">
        <x:v>Vendor Governance</x:v>
      </x:c>
      <x:c r="C15" s="31" t="str">
        <x:v>New Vendors</x:v>
      </x:c>
      <x:c r="D15" s="31" t="str">
        <x:v>Weak due diligence</x:v>
      </x:c>
      <x:c r="E15" s="31" t="str">
        <x:v>No formal inherent-risk questionnaire before onboarding</x:v>
      </x:c>
      <x:c r="F15" s="31" t="str">
        <x:v>High-risk vendors may be onboarded without appropriate review because inherent risk is not assessed before contracting.</x:v>
      </x:c>
      <x:c r="G15" s="31" t="n">
        <x:v>3</x:v>
      </x:c>
      <x:c r="H15" s="31" t="n">
        <x:v>4</x:v>
      </x:c>
      <x:c r="I15" s="31" t="n">
        <x:f>G15*H15</x:f>
        <x:v>12</x:v>
      </x:c>
      <x:c r="J15" s="31" t="str">
        <x:f>IF(I15&gt;=17,"Critical",IF(I15&gt;=10,"High",IF(I15&gt;=5,"Medium","Low")))</x:f>
        <x:v>High</x:v>
      </x:c>
      <x:c r="K15" s="31" t="str">
        <x:v>Procurement review</x:v>
      </x:c>
      <x:c r="L15" s="31" t="str">
        <x:v>Partially Effective</x:v>
      </x:c>
      <x:c r="M15" s="31" t="n">
        <x:v>3</x:v>
      </x:c>
      <x:c r="N15" s="31" t="n">
        <x:v>3</x:v>
      </x:c>
      <x:c r="O15" s="31" t="n">
        <x:f>M15*N15</x:f>
        <x:v>9</x:v>
      </x:c>
      <x:c r="P15" s="31" t="str">
        <x:f>IF(O15&gt;=17,"Critical",IF(O15&gt;=10,"High",IF(O15&gt;=5,"Medium","Low")))</x:f>
        <x:v>Medium</x:v>
      </x:c>
      <x:c r="Q15" s="31" t="str">
        <x:v>Mitigate</x:v>
      </x:c>
      <x:c r="R15" s="31" t="str">
        <x:v>Add vendor inherent-risk intake; route high-risk vendors to security review.</x:v>
      </x:c>
      <x:c r="S15" s="31" t="str">
        <x:v>Procurement Manager</x:v>
      </x:c>
      <x:c r="T15" s="34" t="n">
        <x:v>46295</x:v>
      </x:c>
      <x:c r="U15" s="31" t="str">
        <x:v>Planned</x:v>
      </x:c>
      <x:c r="V15" s="31" t="str">
        <x:v>GOVERN</x:v>
      </x:c>
      <x:c r="W15" s="31" t="str">
        <x:v>SR-3</x:v>
      </x:c>
      <x:c r="X15" s="31" t="str">
        <x:v>CIS 15</x:v>
      </x:c>
    </x:row>
    <x:row r="16">
      <x:c r="A16" s="31" t="str">
        <x:v>R-015</x:v>
      </x:c>
      <x:c r="B16" s="31" t="str">
        <x:v>Incident Response</x:v>
      </x:c>
      <x:c r="C16" s="31" t="str">
        <x:v>Enterprise Incident Process</x:v>
      </x:c>
      <x:c r="D16" s="31" t="str">
        <x:v>Untested response plan</x:v>
      </x:c>
      <x:c r="E16" s="31" t="str">
        <x:v>No recent tabletop exercise</x:v>
      </x:c>
      <x:c r="F16" s="31" t="str">
        <x:v>Incident response may be delayed or inconsistent because roles, escalation paths, and communications have not been exercised.</x:v>
      </x:c>
      <x:c r="G16" s="31" t="n">
        <x:v>4</x:v>
      </x:c>
      <x:c r="H16" s="31" t="n">
        <x:v>5</x:v>
      </x:c>
      <x:c r="I16" s="31" t="n">
        <x:f>G16*H16</x:f>
        <x:v>20</x:v>
      </x:c>
      <x:c r="J16" s="31" t="str">
        <x:f>IF(I16&gt;=17,"Critical",IF(I16&gt;=10,"High",IF(I16&gt;=5,"Medium","Low")))</x:f>
        <x:v>Critical</x:v>
      </x:c>
      <x:c r="K16" s="31" t="str">
        <x:v>IR plan, on-call rotation</x:v>
      </x:c>
      <x:c r="L16" s="31" t="str">
        <x:v>Partially Effective</x:v>
      </x:c>
      <x:c r="M16" s="31" t="n">
        <x:v>3</x:v>
      </x:c>
      <x:c r="N16" s="31" t="n">
        <x:v>5</x:v>
      </x:c>
      <x:c r="O16" s="31" t="n">
        <x:f>M16*N16</x:f>
        <x:v>15</x:v>
      </x:c>
      <x:c r="P16" s="31" t="str">
        <x:f>IF(O16&gt;=17,"Critical",IF(O16&gt;=10,"High",IF(O16&gt;=5,"Medium","Low")))</x:f>
        <x:v>High</x:v>
      </x:c>
      <x:c r="Q16" s="31" t="str">
        <x:v>Mitigate</x:v>
      </x:c>
      <x:c r="R16" s="31" t="str">
        <x:v>Run tabletop aligned to NIST SP 800-61 Rev. 3; capture lessons learned and corrective actions.</x:v>
      </x:c>
      <x:c r="S16" s="31" t="str">
        <x:v>CISO</x:v>
      </x:c>
      <x:c r="T16" s="34" t="n">
        <x:v>46341</x:v>
      </x:c>
      <x:c r="U16" s="31" t="str">
        <x:v>Planned</x:v>
      </x:c>
      <x:c r="V16" s="31" t="str">
        <x:v>RESPOND</x:v>
      </x:c>
      <x:c r="W16" s="31" t="str">
        <x:v>IR-3, IR-4</x:v>
      </x:c>
      <x:c r="X16" s="31" t="str">
        <x:v>CIS 17</x:v>
      </x:c>
    </x:row>
    <x:row r="17">
      <x:c r="A17" s="31" t="str">
        <x:v>R-016</x:v>
      </x:c>
      <x:c r="B17" s="31" t="str">
        <x:v>Data Governance</x:v>
      </x:c>
      <x:c r="C17" s="31" t="str">
        <x:v>Customer Data</x:v>
      </x:c>
      <x:c r="D17" s="31" t="str">
        <x:v>Excessive retention</x:v>
      </x:c>
      <x:c r="E17" s="31" t="str">
        <x:v>Retention rules are not consistently mapped to systems</x:v>
      </x:c>
      <x:c r="F17" s="31" t="str">
        <x:v>Customer data may be retained longer than required because retention rules are not mapped and tested across systems.</x:v>
      </x:c>
      <x:c r="G17" s="31" t="n">
        <x:v>3</x:v>
      </x:c>
      <x:c r="H17" s="31" t="n">
        <x:v>4</x:v>
      </x:c>
      <x:c r="I17" s="31" t="n">
        <x:f>G17*H17</x:f>
        <x:v>12</x:v>
      </x:c>
      <x:c r="J17" s="31" t="str">
        <x:f>IF(I17&gt;=17,"Critical",IF(I17&gt;=10,"High",IF(I17&gt;=5,"Medium","Low")))</x:f>
        <x:v>High</x:v>
      </x:c>
      <x:c r="K17" s="31" t="str">
        <x:v>Contract terms, manual deletion</x:v>
      </x:c>
      <x:c r="L17" s="31" t="str">
        <x:v>Partially Effective</x:v>
      </x:c>
      <x:c r="M17" s="31" t="n">
        <x:v>2</x:v>
      </x:c>
      <x:c r="N17" s="31" t="n">
        <x:v>4</x:v>
      </x:c>
      <x:c r="O17" s="31" t="n">
        <x:f>M17*N17</x:f>
        <x:v>8</x:v>
      </x:c>
      <x:c r="P17" s="31" t="str">
        <x:f>IF(O17&gt;=17,"Critical",IF(O17&gt;=10,"High",IF(O17&gt;=5,"Medium","Low")))</x:f>
        <x:v>Medium</x:v>
      </x:c>
      <x:c r="Q17" s="31" t="str">
        <x:v>Mitigate</x:v>
      </x:c>
      <x:c r="R17" s="31" t="str">
        <x:v>Create data retention matrix; sample deletion evidence; align with privacy commitments.</x:v>
      </x:c>
      <x:c r="S17" s="31" t="str">
        <x:v>Legal / Privacy Owner</x:v>
      </x:c>
      <x:c r="T17" s="34" t="n">
        <x:v>46418</x:v>
      </x:c>
      <x:c r="U17" s="31" t="str">
        <x:v>Not Started</x:v>
      </x:c>
      <x:c r="V17" s="31" t="str">
        <x:v>GOVERN, IDENTIFY</x:v>
      </x:c>
      <x:c r="W17" s="31" t="str">
        <x:v>PT-2, SI-12</x:v>
      </x:c>
      <x:c r="X17" s="31" t="str">
        <x:v>CIS 3</x:v>
      </x:c>
    </x:row>
    <x:row r="18">
      <x:c r="A18" s="31" t="str">
        <x:v>R-017</x:v>
      </x:c>
      <x:c r="B18" s="31" t="str">
        <x:v>Disaster Recovery</x:v>
      </x:c>
      <x:c r="C18" s="31" t="str">
        <x:v>Production Platform</x:v>
      </x:c>
      <x:c r="D18" s="31" t="str">
        <x:v>Failed DR</x:v>
      </x:c>
      <x:c r="E18" s="31" t="str">
        <x:v>DR exercise not performed in last 12 months</x:v>
      </x:c>
      <x:c r="F18" s="31" t="str">
        <x:v>Northbridge may fail to restore service within customer expectations because disaster recovery has not been exercised.</x:v>
      </x:c>
      <x:c r="G18" s="31" t="n">
        <x:v>3</x:v>
      </x:c>
      <x:c r="H18" s="31" t="n">
        <x:v>5</x:v>
      </x:c>
      <x:c r="I18" s="31" t="n">
        <x:f>G18*H18</x:f>
        <x:v>15</x:v>
      </x:c>
      <x:c r="J18" s="31" t="str">
        <x:f>IF(I18&gt;=17,"Critical",IF(I18&gt;=10,"High",IF(I18&gt;=5,"Medium","Low")))</x:f>
        <x:v>High</x:v>
      </x:c>
      <x:c r="K18" s="31" t="str">
        <x:v>Backups, infrastructure-as-code</x:v>
      </x:c>
      <x:c r="L18" s="31" t="str">
        <x:v>Partially Effective</x:v>
      </x:c>
      <x:c r="M18" s="31" t="n">
        <x:v>3</x:v>
      </x:c>
      <x:c r="N18" s="31" t="n">
        <x:v>4</x:v>
      </x:c>
      <x:c r="O18" s="31" t="n">
        <x:f>M18*N18</x:f>
        <x:v>12</x:v>
      </x:c>
      <x:c r="P18" s="31" t="str">
        <x:f>IF(O18&gt;=17,"Critical",IF(O18&gt;=10,"High",IF(O18&gt;=5,"Medium","Low")))</x:f>
        <x:v>High</x:v>
      </x:c>
      <x:c r="Q18" s="31" t="str">
        <x:v>Mitigate</x:v>
      </x:c>
      <x:c r="R18" s="31" t="str">
        <x:v>Conduct DR exercise; document RTO/RPO achievement and gaps.</x:v>
      </x:c>
      <x:c r="S18" s="31" t="str">
        <x:v>Director of Infrastructure</x:v>
      </x:c>
      <x:c r="T18" s="34" t="n">
        <x:v>46446</x:v>
      </x:c>
      <x:c r="U18" s="31" t="str">
        <x:v>Not Started</x:v>
      </x:c>
      <x:c r="V18" s="31" t="str">
        <x:v>RECOVER</x:v>
      </x:c>
      <x:c r="W18" s="31" t="str">
        <x:v>CP-4, CP-10</x:v>
      </x:c>
      <x:c r="X18" s="31" t="str">
        <x:v>CIS 11</x:v>
      </x:c>
    </x:row>
    <x:row r="19">
      <x:c r="A19" s="31" t="str">
        <x:v>R-018</x:v>
      </x:c>
      <x:c r="B19" s="31" t="str">
        <x:v>Change Management</x:v>
      </x:c>
      <x:c r="C19" s="31" t="str">
        <x:v>Production Changes</x:v>
      </x:c>
      <x:c r="D19" s="31" t="str">
        <x:v>Unauthorized production change</x:v>
      </x:c>
      <x:c r="E19" s="31" t="str">
        <x:v>Emergency changes lack consistent post-implementation review</x:v>
      </x:c>
      <x:c r="F19" s="31" t="str">
        <x:v>Production instability or security exposure may occur because emergency changes are not consistently reviewed after implementation.</x:v>
      </x:c>
      <x:c r="G19" s="31" t="n">
        <x:v>3</x:v>
      </x:c>
      <x:c r="H19" s="31" t="n">
        <x:v>4</x:v>
      </x:c>
      <x:c r="I19" s="31" t="n">
        <x:f>G19*H19</x:f>
        <x:v>12</x:v>
      </x:c>
      <x:c r="J19" s="31" t="str">
        <x:f>IF(I19&gt;=17,"Critical",IF(I19&gt;=10,"High",IF(I19&gt;=5,"Medium","Low")))</x:f>
        <x:v>High</x:v>
      </x:c>
      <x:c r="K19" s="31" t="str">
        <x:v>Pull requests, approvals</x:v>
      </x:c>
      <x:c r="L19" s="31" t="str">
        <x:v>Partially Effective</x:v>
      </x:c>
      <x:c r="M19" s="31" t="n">
        <x:v>2</x:v>
      </x:c>
      <x:c r="N19" s="31" t="n">
        <x:v>4</x:v>
      </x:c>
      <x:c r="O19" s="31" t="n">
        <x:f>M19*N19</x:f>
        <x:v>8</x:v>
      </x:c>
      <x:c r="P19" s="31" t="str">
        <x:f>IF(O19&gt;=17,"Critical",IF(O19&gt;=10,"High",IF(O19&gt;=5,"Medium","Low")))</x:f>
        <x:v>Medium</x:v>
      </x:c>
      <x:c r="Q19" s="31" t="str">
        <x:v>Mitigate</x:v>
      </x:c>
      <x:c r="R19" s="31" t="str">
        <x:v>Require emergency change review within five business days; sample monthly.</x:v>
      </x:c>
      <x:c r="S19" s="31" t="str">
        <x:v>Engineering Manager</x:v>
      </x:c>
      <x:c r="T19" s="34" t="n">
        <x:v>46371</x:v>
      </x:c>
      <x:c r="U19" s="31" t="str">
        <x:v>Planned</x:v>
      </x:c>
      <x:c r="V19" s="31" t="str">
        <x:v>PROTECT</x:v>
      </x:c>
      <x:c r="W19" s="31" t="str">
        <x:v>CM-3</x:v>
      </x:c>
      <x:c r="X19" s="31" t="str">
        <x:v>CIS 4</x:v>
      </x:c>
    </x:row>
    <x:row r="20">
      <x:c r="A20" s="31" t="str">
        <x:v>R-019</x:v>
      </x:c>
      <x:c r="B20" s="31" t="str">
        <x:v>Security Training</x:v>
      </x:c>
      <x:c r="C20" s="31" t="str">
        <x:v>Workforce</x:v>
      </x:c>
      <x:c r="D20" s="31" t="str">
        <x:v>Human error</x:v>
      </x:c>
      <x:c r="E20" s="31" t="str">
        <x:v>Training completion evidence is incomplete for contractors</x:v>
      </x:c>
      <x:c r="F20" s="31" t="str">
        <x:v>Security incidents may result from human error because awareness training coverage is not fully evidenced for contractors.</x:v>
      </x:c>
      <x:c r="G20" s="31" t="n">
        <x:v>3</x:v>
      </x:c>
      <x:c r="H20" s="31" t="n">
        <x:v>3</x:v>
      </x:c>
      <x:c r="I20" s="31" t="n">
        <x:f>G20*H20</x:f>
        <x:v>9</x:v>
      </x:c>
      <x:c r="J20" s="31" t="str">
        <x:f>IF(I20&gt;=17,"Critical",IF(I20&gt;=10,"High",IF(I20&gt;=5,"Medium","Low")))</x:f>
        <x:v>Medium</x:v>
      </x:c>
      <x:c r="K20" s="31" t="str">
        <x:v>Annual training</x:v>
      </x:c>
      <x:c r="L20" s="31" t="str">
        <x:v>Partially Effective</x:v>
      </x:c>
      <x:c r="M20" s="31" t="n">
        <x:v>2</x:v>
      </x:c>
      <x:c r="N20" s="31" t="n">
        <x:v>3</x:v>
      </x:c>
      <x:c r="O20" s="31" t="n">
        <x:f>M20*N20</x:f>
        <x:v>6</x:v>
      </x:c>
      <x:c r="P20" s="31" t="str">
        <x:f>IF(O20&gt;=17,"Critical",IF(O20&gt;=10,"High",IF(O20&gt;=5,"Medium","Low")))</x:f>
        <x:v>Medium</x:v>
      </x:c>
      <x:c r="Q20" s="31" t="str">
        <x:v>Mitigate</x:v>
      </x:c>
      <x:c r="R20" s="31" t="str">
        <x:v>Extend training tracker to contractors; report overdue completion monthly.</x:v>
      </x:c>
      <x:c r="S20" s="31" t="str">
        <x:v>People Operations Manager</x:v>
      </x:c>
      <x:c r="T20" s="34" t="n">
        <x:v>46326</x:v>
      </x:c>
      <x:c r="U20" s="31" t="str">
        <x:v>In Progress</x:v>
      </x:c>
      <x:c r="V20" s="31" t="str">
        <x:v>PROTECT</x:v>
      </x:c>
      <x:c r="W20" s="31" t="str">
        <x:v>AT-2</x:v>
      </x:c>
      <x:c r="X20" s="31" t="str">
        <x:v>CIS 14</x:v>
      </x:c>
    </x:row>
    <x:row r="21">
      <x:c r="A21" s="32" t="str">
        <x:v>R-020</x:v>
      </x:c>
      <x:c r="B21" s="32" t="str">
        <x:v>Audit Readiness</x:v>
      </x:c>
      <x:c r="C21" s="32" t="str">
        <x:v>Security Evidence</x:v>
      </x:c>
      <x:c r="D21" s="32" t="str">
        <x:v>Missing evidence</x:v>
      </x:c>
      <x:c r="E21" s="32" t="str">
        <x:v>Control evidence is decentralized</x:v>
      </x:c>
      <x:c r="F21" s="32" t="str">
        <x:v>Customer assurance or future SOC 2 readiness may be delayed because control evidence is not centrally organized.</x:v>
      </x:c>
      <x:c r="G21" s="32" t="n">
        <x:v>4</x:v>
      </x:c>
      <x:c r="H21" s="32" t="n">
        <x:v>4</x:v>
      </x:c>
      <x:c r="I21" s="32" t="n">
        <x:f>G21*H21</x:f>
        <x:v>16</x:v>
      </x:c>
      <x:c r="J21" s="32" t="str">
        <x:f>IF(I21&gt;=17,"Critical",IF(I21&gt;=10,"High",IF(I21&gt;=5,"Medium","Low")))</x:f>
        <x:v>High</x:v>
      </x:c>
      <x:c r="K21" s="32" t="str">
        <x:v>Shared folders, ticketing</x:v>
      </x:c>
      <x:c r="L21" s="32" t="str">
        <x:v>Partially Effective</x:v>
      </x:c>
      <x:c r="M21" s="32" t="n">
        <x:v>3</x:v>
      </x:c>
      <x:c r="N21" s="32" t="n">
        <x:v>4</x:v>
      </x:c>
      <x:c r="O21" s="32" t="n">
        <x:f>M21*N21</x:f>
        <x:v>12</x:v>
      </x:c>
      <x:c r="P21" s="32" t="str">
        <x:f>IF(O21&gt;=17,"Critical",IF(O21&gt;=10,"High",IF(O21&gt;=5,"Medium","Low")))</x:f>
        <x:v>High</x:v>
      </x:c>
      <x:c r="Q21" s="32" t="str">
        <x:v>Mitigate</x:v>
      </x:c>
      <x:c r="R21" s="32" t="str">
        <x:v>Create evidence inventory; assign evidence owners; establish monthly evidence review for key controls.</x:v>
      </x:c>
      <x:c r="S21" s="32" t="str">
        <x:v>GRC Lead</x:v>
      </x:c>
      <x:c r="T21" s="35" t="n">
        <x:v>46387</x:v>
      </x:c>
      <x:c r="U21" s="32" t="str">
        <x:v>Planned</x:v>
      </x:c>
      <x:c r="V21" s="32" t="str">
        <x:v>GOVERN</x:v>
      </x:c>
      <x:c r="W21" s="32" t="str">
        <x:v>CA-2, CA-7</x:v>
      </x:c>
      <x:c r="X21" s="32" t="str">
        <x:v>SOC 2 CC2, CC3, CC5</x:v>
      </x:c>
    </x:row>
  </x:sheetData>
  <x:conditionalFormatting sqref="J2:J21">
    <x:cfRule type="containsText" dxfId="12" priority="1" operator="containsText" text="Critical"/>
    <x:cfRule type="containsText" dxfId="13" priority="2" operator="containsText" text="High"/>
    <x:cfRule type="containsText" dxfId="14" priority="3" operator="containsText" text="Medium"/>
    <x:cfRule type="containsText" dxfId="15" priority="4" operator="containsText" text="Low"/>
  </x:conditionalFormatting>
  <x:conditionalFormatting sqref="P2:P21">
    <x:cfRule type="containsText" dxfId="16" priority="5" operator="containsText" text="Critical"/>
    <x:cfRule type="containsText" dxfId="17" priority="6" operator="containsText" text="High"/>
    <x:cfRule type="containsText" dxfId="18" priority="7" operator="containsText" text="Medium"/>
    <x:cfRule type="containsText" dxfId="19" priority="8" operator="containsText" text="Lo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58" hidden="0" customWidth="1"/>
    <x:col min="4" max="4" width="26" hidden="0" customWidth="1"/>
    <x:col min="5" max="5" width="14" hidden="0" customWidth="1"/>
    <x:col min="6" max="6" width="16" hidden="0" customWidth="1"/>
    <x:col min="7" max="7" width="14" hidden="0" customWidth="1"/>
    <x:col min="8" max="8" width="38" hidden="0" customWidth="1"/>
  </x:cols>
  <x:sheetData>
    <x:row r="1">
      <x:c r="A1" s="27" t="str">
        <x:v>Risk ID</x:v>
      </x:c>
      <x:c r="B1" s="28" t="str">
        <x:v>Residual Rating</x:v>
      </x:c>
      <x:c r="C1" s="28" t="str">
        <x:v>Action Plan</x:v>
      </x:c>
      <x:c r="D1" s="28" t="str">
        <x:v>Owner</x:v>
      </x:c>
      <x:c r="E1" s="28" t="str">
        <x:v>Due Date</x:v>
      </x:c>
      <x:c r="F1" s="28" t="str">
        <x:v>Status</x:v>
      </x:c>
      <x:c r="G1" s="28" t="str">
        <x:v>Priority</x:v>
      </x:c>
      <x:c r="H1" s="29" t="str">
        <x:v>Notes</x:v>
      </x:c>
    </x:row>
    <x:row r="2">
      <x:c r="A2" s="30" t="str">
        <x:v>R-001</x:v>
      </x:c>
      <x:c r="B2" s="30" t="str">
        <x:v>High</x:v>
      </x:c>
      <x:c r="C2" s="30" t="str">
        <x:v>Enforce phishing-resistant MFA for privileged accounts; complete quarterly privileged access review; remove stale admin accounts.</x:v>
      </x:c>
      <x:c r="D2" s="30" t="str">
        <x:v>VP of IT</x:v>
      </x:c>
      <x:c r="E2" s="33" t="n">
        <x:v>46310</x:v>
      </x:c>
      <x:c r="F2" s="30" t="str">
        <x:v>In Progress</x:v>
      </x:c>
      <x:c r="G2" s="30" t="str">
        <x:v>High</x:v>
      </x:c>
      <x:c r="H2" s="30" t="str">
        <x:v>Track in monthly GRC remediation review</x:v>
      </x:c>
    </x:row>
    <x:row r="3">
      <x:c r="A3" s="31" t="str">
        <x:v>R-002</x:v>
      </x:c>
      <x:c r="B3" s="31" t="str">
        <x:v>High</x:v>
      </x:c>
      <x:c r="C3" s="31" t="str">
        <x:v>Run backup restore test; confirm RTO/RPO; document executive recovery decision process.</x:v>
      </x:c>
      <x:c r="D3" s="31" t="str">
        <x:v>Director of Infrastructure</x:v>
      </x:c>
      <x:c r="E3" s="34" t="n">
        <x:v>46356</x:v>
      </x:c>
      <x:c r="F3" s="31" t="str">
        <x:v>Planned</x:v>
      </x:c>
      <x:c r="G3" s="31" t="str">
        <x:v>High</x:v>
      </x:c>
      <x:c r="H3" s="31" t="str">
        <x:v>Track in monthly GRC remediation review</x:v>
      </x:c>
    </x:row>
    <x:row r="4">
      <x:c r="A4" s="31" t="str">
        <x:v>R-003</x:v>
      </x:c>
      <x:c r="B4" s="31" t="str">
        <x:v>High</x:v>
      </x:c>
      <x:c r="C4" s="31" t="str">
        <x:v>Implement cloud configuration monitoring; require security review for infrastructure changes; review public exposure alerts monthly.</x:v>
      </x:c>
      <x:c r="D4" s="31" t="str">
        <x:v>Cloud Engineering Manager</x:v>
      </x:c>
      <x:c r="E4" s="34" t="n">
        <x:v>46326</x:v>
      </x:c>
      <x:c r="F4" s="31" t="str">
        <x:v>In Progress</x:v>
      </x:c>
      <x:c r="G4" s="31" t="str">
        <x:v>High</x:v>
      </x:c>
      <x:c r="H4" s="31" t="str">
        <x:v>Track in monthly GRC remediation review</x:v>
      </x:c>
    </x:row>
    <x:row r="5">
      <x:c r="A5" s="31" t="str">
        <x:v>R-004</x:v>
      </x:c>
      <x:c r="B5" s="31" t="str">
        <x:v>High</x:v>
      </x:c>
      <x:c r="C5" s="31" t="str">
        <x:v>Define app owners; conduct quarterly access reviews for critical SaaS apps; track exceptions.</x:v>
      </x:c>
      <x:c r="D5" s="31" t="str">
        <x:v>GRC Lead</x:v>
      </x:c>
      <x:c r="E5" s="34" t="n">
        <x:v>46371</x:v>
      </x:c>
      <x:c r="F5" s="31" t="str">
        <x:v>Planned</x:v>
      </x:c>
      <x:c r="G5" s="31" t="str">
        <x:v>High</x:v>
      </x:c>
      <x:c r="H5" s="31" t="str">
        <x:v>Track in monthly GRC remediation review</x:v>
      </x:c>
    </x:row>
    <x:row r="6">
      <x:c r="A6" s="31" t="str">
        <x:v>R-005</x:v>
      </x:c>
      <x:c r="B6" s="31" t="str">
        <x:v>Medium</x:v>
      </x:c>
      <x:c r="C6" s="31" t="str">
        <x:v>Automate deprovisioning checklist; sample monthly terminations; retain evidence.</x:v>
      </x:c>
      <x:c r="D6" s="31" t="str">
        <x:v>People Operations Manager</x:v>
      </x:c>
      <x:c r="E6" s="34" t="n">
        <x:v>46295</x:v>
      </x:c>
      <x:c r="F6" s="31" t="str">
        <x:v>In Progress</x:v>
      </x:c>
      <x:c r="G6" s="31" t="str">
        <x:v>Medium</x:v>
      </x:c>
      <x:c r="H6" s="31" t="str">
        <x:v>Track in monthly GRC remediation review</x:v>
      </x:c>
    </x:row>
    <x:row r="7">
      <x:c r="A7" s="31" t="str">
        <x:v>R-006</x:v>
      </x:c>
      <x:c r="B7" s="31" t="str">
        <x:v>Medium</x:v>
      </x:c>
      <x:c r="C7" s="31" t="str">
        <x:v>Tier vendors; document continuity requirements; review SOC reports and BCP statements annually.</x:v>
      </x:c>
      <x:c r="D7" s="31" t="str">
        <x:v>Procurement Manager</x:v>
      </x:c>
      <x:c r="E7" s="34" t="n">
        <x:v>46402</x:v>
      </x:c>
      <x:c r="F7" s="31" t="str">
        <x:v>Not Started</x:v>
      </x:c>
      <x:c r="G7" s="31" t="str">
        <x:v>Medium</x:v>
      </x:c>
      <x:c r="H7" s="31" t="str">
        <x:v>Track in monthly GRC remediation review</x:v>
      </x:c>
    </x:row>
    <x:row r="8">
      <x:c r="A8" s="31" t="str">
        <x:v>R-007</x:v>
      </x:c>
      <x:c r="B8" s="31" t="str">
        <x:v>High</x:v>
      </x:c>
      <x:c r="C8" s="31" t="str">
        <x:v>Implement NIST SP 800-161-aligned vendor tiering; require annual critical vendor reviews.</x:v>
      </x:c>
      <x:c r="D8" s="31" t="str">
        <x:v>GRC Lead</x:v>
      </x:c>
      <x:c r="E8" s="34" t="n">
        <x:v>46387</x:v>
      </x:c>
      <x:c r="F8" s="31" t="str">
        <x:v>Planned</x:v>
      </x:c>
      <x:c r="G8" s="31" t="str">
        <x:v>High</x:v>
      </x:c>
      <x:c r="H8" s="31" t="str">
        <x:v>Track in monthly GRC remediation review</x:v>
      </x:c>
    </x:row>
    <x:row r="9">
      <x:c r="A9" s="31" t="str">
        <x:v>R-008</x:v>
      </x:c>
      <x:c r="B9" s="31" t="str">
        <x:v>High</x:v>
      </x:c>
      <x:c r="C9" s="31" t="str">
        <x:v>Schedule quarterly restore testing and document results.</x:v>
      </x:c>
      <x:c r="D9" s="31" t="str">
        <x:v>Director of Infrastructure</x:v>
      </x:c>
      <x:c r="E9" s="34" t="n">
        <x:v>46356</x:v>
      </x:c>
      <x:c r="F9" s="31" t="str">
        <x:v>Planned</x:v>
      </x:c>
      <x:c r="G9" s="31" t="str">
        <x:v>High</x:v>
      </x:c>
      <x:c r="H9" s="31" t="str">
        <x:v>Track in monthly GRC remediation review</x:v>
      </x:c>
    </x:row>
    <x:row r="10">
      <x:c r="A10" s="31" t="str">
        <x:v>R-009</x:v>
      </x:c>
      <x:c r="B10" s="31" t="str">
        <x:v>High</x:v>
      </x:c>
      <x:c r="C10" s="31" t="str">
        <x:v>Approve remediation SLA; report overdue critical vulnerabilities; document risk exceptions.</x:v>
      </x:c>
      <x:c r="D10" s="31" t="str">
        <x:v>Security Engineer</x:v>
      </x:c>
      <x:c r="E10" s="34" t="n">
        <x:v>46326</x:v>
      </x:c>
      <x:c r="F10" s="31" t="str">
        <x:v>In Progress</x:v>
      </x:c>
      <x:c r="G10" s="31" t="str">
        <x:v>High</x:v>
      </x:c>
      <x:c r="H10" s="31" t="str">
        <x:v>Track in monthly GRC remediation review</x:v>
      </x:c>
    </x:row>
    <x:row r="11">
      <x:c r="A11" s="31" t="str">
        <x:v>R-010</x:v>
      </x:c>
      <x:c r="B11" s="31" t="str">
        <x:v>High</x:v>
      </x:c>
      <x:c r="C11" s="31" t="str">
        <x:v>Run quarterly phishing simulation; track reporting rate; tune mailbox protections.</x:v>
      </x:c>
      <x:c r="D11" s="31" t="str">
        <x:v>Security Awareness Owner</x:v>
      </x:c>
      <x:c r="E11" s="34" t="n">
        <x:v>46357</x:v>
      </x:c>
      <x:c r="F11" s="31" t="str">
        <x:v>Planned</x:v>
      </x:c>
      <x:c r="G11" s="31" t="str">
        <x:v>High</x:v>
      </x:c>
      <x:c r="H11" s="31" t="str">
        <x:v>Track in monthly GRC remediation review</x:v>
      </x:c>
    </x:row>
    <x:row r="12">
      <x:c r="A12" s="31" t="str">
        <x:v>R-011</x:v>
      </x:c>
      <x:c r="B12" s="31" t="str">
        <x:v>High</x:v>
      </x:c>
      <x:c r="C12" s="31" t="str">
        <x:v>Review repo access quarterly; enforce secret scanning; document exceptions.</x:v>
      </x:c>
      <x:c r="D12" s="31" t="str">
        <x:v>Engineering Manager</x:v>
      </x:c>
      <x:c r="E12" s="34" t="n">
        <x:v>46341</x:v>
      </x:c>
      <x:c r="F12" s="31" t="str">
        <x:v>Planned</x:v>
      </x:c>
      <x:c r="G12" s="31" t="str">
        <x:v>High</x:v>
      </x:c>
      <x:c r="H12" s="31" t="str">
        <x:v>Track in monthly GRC remediation review</x:v>
      </x:c>
    </x:row>
    <x:row r="13">
      <x:c r="A13" s="31" t="str">
        <x:v>R-012</x:v>
      </x:c>
      <x:c r="B13" s="31" t="str">
        <x:v>High</x:v>
      </x:c>
      <x:c r="C13" s="31" t="str">
        <x:v>Map critical logs; define alert owners; test alert routing monthly.</x:v>
      </x:c>
      <x:c r="D13" s="31" t="str">
        <x:v>Security Operations Lead</x:v>
      </x:c>
      <x:c r="E13" s="34" t="n">
        <x:v>46326</x:v>
      </x:c>
      <x:c r="F13" s="31" t="str">
        <x:v>In Progress</x:v>
      </x:c>
      <x:c r="G13" s="31" t="str">
        <x:v>High</x:v>
      </x:c>
      <x:c r="H13" s="31" t="str">
        <x:v>Track in monthly GRC remediation review</x:v>
      </x:c>
    </x:row>
    <x:row r="14">
      <x:c r="A14" s="31" t="str">
        <x:v>R-013</x:v>
      </x:c>
      <x:c r="B14" s="31" t="str">
        <x:v>High</x:v>
      </x:c>
      <x:c r="C14" s="31" t="str">
        <x:v>Create monthly patch compliance report and exception workflow.</x:v>
      </x:c>
      <x:c r="D14" s="31" t="str">
        <x:v>IT Operations Manager</x:v>
      </x:c>
      <x:c r="E14" s="34" t="n">
        <x:v>46310</x:v>
      </x:c>
      <x:c r="F14" s="31" t="str">
        <x:v>In Progress</x:v>
      </x:c>
      <x:c r="G14" s="31" t="str">
        <x:v>High</x:v>
      </x:c>
      <x:c r="H14" s="31" t="str">
        <x:v>Track in monthly GRC remediation review</x:v>
      </x:c>
    </x:row>
    <x:row r="15">
      <x:c r="A15" s="31" t="str">
        <x:v>R-014</x:v>
      </x:c>
      <x:c r="B15" s="31" t="str">
        <x:v>Medium</x:v>
      </x:c>
      <x:c r="C15" s="31" t="str">
        <x:v>Add vendor inherent-risk intake; route high-risk vendors to security review.</x:v>
      </x:c>
      <x:c r="D15" s="31" t="str">
        <x:v>Procurement Manager</x:v>
      </x:c>
      <x:c r="E15" s="34" t="n">
        <x:v>46295</x:v>
      </x:c>
      <x:c r="F15" s="31" t="str">
        <x:v>Planned</x:v>
      </x:c>
      <x:c r="G15" s="31" t="str">
        <x:v>Medium</x:v>
      </x:c>
      <x:c r="H15" s="31" t="str">
        <x:v>Track in monthly GRC remediation review</x:v>
      </x:c>
    </x:row>
    <x:row r="16">
      <x:c r="A16" s="31" t="str">
        <x:v>R-015</x:v>
      </x:c>
      <x:c r="B16" s="31" t="str">
        <x:v>High</x:v>
      </x:c>
      <x:c r="C16" s="31" t="str">
        <x:v>Run tabletop aligned to NIST SP 800-61 Rev. 3; capture lessons learned and corrective actions.</x:v>
      </x:c>
      <x:c r="D16" s="31" t="str">
        <x:v>CISO</x:v>
      </x:c>
      <x:c r="E16" s="34" t="n">
        <x:v>46341</x:v>
      </x:c>
      <x:c r="F16" s="31" t="str">
        <x:v>Planned</x:v>
      </x:c>
      <x:c r="G16" s="31" t="str">
        <x:v>High</x:v>
      </x:c>
      <x:c r="H16" s="31" t="str">
        <x:v>Track in monthly GRC remediation review</x:v>
      </x:c>
    </x:row>
    <x:row r="17">
      <x:c r="A17" s="31" t="str">
        <x:v>R-016</x:v>
      </x:c>
      <x:c r="B17" s="31" t="str">
        <x:v>Medium</x:v>
      </x:c>
      <x:c r="C17" s="31" t="str">
        <x:v>Create data retention matrix; sample deletion evidence; align with privacy commitments.</x:v>
      </x:c>
      <x:c r="D17" s="31" t="str">
        <x:v>Legal / Privacy Owner</x:v>
      </x:c>
      <x:c r="E17" s="34" t="n">
        <x:v>46418</x:v>
      </x:c>
      <x:c r="F17" s="31" t="str">
        <x:v>Not Started</x:v>
      </x:c>
      <x:c r="G17" s="31" t="str">
        <x:v>Medium</x:v>
      </x:c>
      <x:c r="H17" s="31" t="str">
        <x:v>Track in monthly GRC remediation review</x:v>
      </x:c>
    </x:row>
    <x:row r="18">
      <x:c r="A18" s="31" t="str">
        <x:v>R-017</x:v>
      </x:c>
      <x:c r="B18" s="31" t="str">
        <x:v>High</x:v>
      </x:c>
      <x:c r="C18" s="31" t="str">
        <x:v>Conduct DR exercise; document RTO/RPO achievement and gaps.</x:v>
      </x:c>
      <x:c r="D18" s="31" t="str">
        <x:v>Director of Infrastructure</x:v>
      </x:c>
      <x:c r="E18" s="34" t="n">
        <x:v>46446</x:v>
      </x:c>
      <x:c r="F18" s="31" t="str">
        <x:v>Not Started</x:v>
      </x:c>
      <x:c r="G18" s="31" t="str">
        <x:v>High</x:v>
      </x:c>
      <x:c r="H18" s="31" t="str">
        <x:v>Track in monthly GRC remediation review</x:v>
      </x:c>
    </x:row>
    <x:row r="19">
      <x:c r="A19" s="31" t="str">
        <x:v>R-018</x:v>
      </x:c>
      <x:c r="B19" s="31" t="str">
        <x:v>Medium</x:v>
      </x:c>
      <x:c r="C19" s="31" t="str">
        <x:v>Require emergency change review within five business days; sample monthly.</x:v>
      </x:c>
      <x:c r="D19" s="31" t="str">
        <x:v>Engineering Manager</x:v>
      </x:c>
      <x:c r="E19" s="34" t="n">
        <x:v>46371</x:v>
      </x:c>
      <x:c r="F19" s="31" t="str">
        <x:v>Planned</x:v>
      </x:c>
      <x:c r="G19" s="31" t="str">
        <x:v>Medium</x:v>
      </x:c>
      <x:c r="H19" s="31" t="str">
        <x:v>Track in monthly GRC remediation review</x:v>
      </x:c>
    </x:row>
    <x:row r="20">
      <x:c r="A20" s="31" t="str">
        <x:v>R-019</x:v>
      </x:c>
      <x:c r="B20" s="31" t="str">
        <x:v>Medium</x:v>
      </x:c>
      <x:c r="C20" s="31" t="str">
        <x:v>Extend training tracker to contractors; report overdue completion monthly.</x:v>
      </x:c>
      <x:c r="D20" s="31" t="str">
        <x:v>People Operations Manager</x:v>
      </x:c>
      <x:c r="E20" s="34" t="n">
        <x:v>46326</x:v>
      </x:c>
      <x:c r="F20" s="31" t="str">
        <x:v>In Progress</x:v>
      </x:c>
      <x:c r="G20" s="31" t="str">
        <x:v>Medium</x:v>
      </x:c>
      <x:c r="H20" s="31" t="str">
        <x:v>Track in monthly GRC remediation review</x:v>
      </x:c>
    </x:row>
    <x:row r="21">
      <x:c r="A21" s="32" t="str">
        <x:v>R-020</x:v>
      </x:c>
      <x:c r="B21" s="32" t="str">
        <x:v>High</x:v>
      </x:c>
      <x:c r="C21" s="32" t="str">
        <x:v>Create evidence inventory; assign evidence owners; establish monthly evidence review for key controls.</x:v>
      </x:c>
      <x:c r="D21" s="32" t="str">
        <x:v>GRC Lead</x:v>
      </x:c>
      <x:c r="E21" s="35" t="n">
        <x:v>46387</x:v>
      </x:c>
      <x:c r="F21" s="32" t="str">
        <x:v>Planned</x:v>
      </x:c>
      <x:c r="G21" s="32" t="str">
        <x:v>High</x:v>
      </x:c>
      <x:c r="H21" s="32" t="str">
        <x:v>Track in monthly GRC remediation review</x:v>
      </x:c>
    </x:row>
  </x:sheetData>
  <x:conditionalFormatting sqref="B2:B21">
    <x:cfRule type="containsText" dxfId="20" priority="1" operator="containsText" text="Critical"/>
    <x:cfRule type="containsText" dxfId="21" priority="2" operator="containsText" text="High"/>
    <x:cfRule type="containsText" dxfId="22" priority="3" operator="containsText" text="Medium"/>
    <x:cfRule type="containsText" dxfId="23" priority="4" operator="containsText" text="Low"/>
  </x:conditionalFormatting>
  <x:conditionalFormatting sqref="G2:G21">
    <x:cfRule type="containsText" dxfId="24" priority="5" operator="containsText" text="Critical"/>
    <x:cfRule type="containsText" dxfId="25" priority="6" operator="containsText" text="High"/>
    <x:cfRule type="containsText" dxfId="26" priority="7" operator="containsText" text="Medium"/>
    <x:cfRule type="containsText" dxfId="27" priority="8" operator="containsText" text="Low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4" hidden="0" customWidth="1"/>
    <x:col min="3" max="3" width="42" hidden="0" customWidth="1"/>
  </x:cols>
  <x:sheetData>
    <x:row r="1">
      <x:c r="A1" s="27" t="str">
        <x:v>Reference</x:v>
      </x:c>
      <x:c r="B1" s="28" t="str">
        <x:v>URL</x:v>
      </x:c>
      <x:c r="C1" s="29" t="str">
        <x:v>Use in Workbook</x:v>
      </x:c>
    </x:row>
    <x:row r="2">
      <x:c r="A2" s="30" t="str">
        <x:v>NIST CSF 2.0</x:v>
      </x:c>
      <x:c r="B2" s="30" t="str">
        <x:v>https://www.nist.gov/cyberframework</x:v>
      </x:c>
      <x:c r="C2" s="30" t="str">
        <x:v>Primary program framework and functions</x:v>
      </x:c>
    </x:row>
    <x:row r="3">
      <x:c r="A3" s="31" t="str">
        <x:v>NIST SP 800-30 Rev. 1</x:v>
      </x:c>
      <x:c r="B3" s="31" t="str">
        <x:v>https://csrc.nist.gov/pubs/sp/800/30/r1/final</x:v>
      </x:c>
      <x:c r="C3" s="31" t="str">
        <x:v>Risk-assessment methodology</x:v>
      </x:c>
    </x:row>
    <x:row r="4">
      <x:c r="A4" s="31" t="str">
        <x:v>NIST IR 8286 Rev. 1</x:v>
      </x:c>
      <x:c r="B4" s="31" t="str">
        <x:v>https://csrc.nist.gov/pubs/ir/8286/r1/final</x:v>
      </x:c>
      <x:c r="C4" s="31" t="str">
        <x:v>Cybersecurity risk integration with ERM</x:v>
      </x:c>
    </x:row>
    <x:row r="5">
      <x:c r="A5" s="31" t="str">
        <x:v>NIST IR 8286A Rev. 1</x:v>
      </x:c>
      <x:c r="B5" s="31" t="str">
        <x:v>https://csrc.nist.gov/pubs/ir/8286/a/r1/final</x:v>
      </x:c>
      <x:c r="C5" s="31" t="str">
        <x:v>Risk identification and estimation for ERM</x:v>
      </x:c>
    </x:row>
    <x:row r="6">
      <x:c r="A6" s="31" t="str">
        <x:v>NIST IR 8286C Rev. 1</x:v>
      </x:c>
      <x:c r="B6" s="31" t="str">
        <x:v>https://csrc.nist.gov/pubs/ir/8286/c/r1/final</x:v>
      </x:c>
      <x:c r="C6" s="31" t="str">
        <x:v>Risk staging and governance oversight</x:v>
      </x:c>
    </x:row>
    <x:row r="7">
      <x:c r="A7" s="31" t="str">
        <x:v>NIST SP 1308</x:v>
      </x:c>
      <x:c r="B7" s="31" t="str">
        <x:v>https://csrc.nist.gov/pubs/sp/1308/final</x:v>
      </x:c>
      <x:c r="C7" s="31" t="str">
        <x:v>CSF 2.0, ERM, and workforce management</x:v>
      </x:c>
    </x:row>
    <x:row r="8">
      <x:c r="A8" s="31" t="str">
        <x:v>NIST SP 800-53 Rev. 5 Release 5.2.0</x:v>
      </x:c>
      <x:c r="B8" s="31" t="str">
        <x:v>https://csrc.nist.gov/News/2025/nist-releases-revision-to-sp-800-53-controls</x:v>
      </x:c>
      <x:c r="C8" s="31" t="str">
        <x:v>Control catalog reference</x:v>
      </x:c>
    </x:row>
    <x:row r="9">
      <x:c r="A9" s="31" t="str">
        <x:v>NIST SP 800-53A Rev. 5</x:v>
      </x:c>
      <x:c r="B9" s="31" t="str">
        <x:v>https://csrc.nist.gov/pubs/sp/800/53/a/r5/final</x:v>
      </x:c>
      <x:c r="C9" s="31" t="str">
        <x:v>Control assessment reference</x:v>
      </x:c>
    </x:row>
    <x:row r="10">
      <x:c r="A10" s="31" t="str">
        <x:v>NIST SP 800-161 Rev. 1 Update 1</x:v>
      </x:c>
      <x:c r="B10" s="31" t="str">
        <x:v>https://csrc.nist.gov/pubs/sp/800/161/r1/upd1/final</x:v>
      </x:c>
      <x:c r="C10" s="31" t="str">
        <x:v>Supply-chain risk reference</x:v>
      </x:c>
    </x:row>
    <x:row r="11">
      <x:c r="A11" s="31" t="str">
        <x:v>CIS Controls v8.1</x:v>
      </x:c>
      <x:c r="B11" s="31" t="str">
        <x:v>https://www.cisecurity.org/controls/v8-1</x:v>
      </x:c>
      <x:c r="C11" s="31" t="str">
        <x:v>Prioritized safeguards</x:v>
      </x:c>
    </x:row>
    <x:row r="12">
      <x:c r="A12" s="31" t="str">
        <x:v>ISO/IEC 27001:2022/Amd 1:2024</x:v>
      </x:c>
      <x:c r="B12" s="31" t="str">
        <x:v>https://www.iso.org/standard/88435.html</x:v>
      </x:c>
      <x:c r="C12" s="31" t="str">
        <x:v>ISMS requirements</x:v>
      </x:c>
    </x:row>
    <x:row r="13">
      <x:c r="A13" s="31" t="str">
        <x:v>ISO/IEC 27002:2022</x:v>
      </x:c>
      <x:c r="B13" s="31" t="str">
        <x:v>https://www.iso.org/standard/75652.html</x:v>
      </x:c>
      <x:c r="C13" s="31" t="str">
        <x:v>Security control guidance</x:v>
      </x:c>
    </x:row>
    <x:row r="14">
      <x:c r="A14" s="31" t="str">
        <x:v>AICPA TSC revised points of focus 2022</x:v>
      </x:c>
      <x:c r="B14" s="31" t="str">
        <x:v>https://www.aicpa-cima.com/resources/download/2017-trust-services-criteria-with-revised-points-of-focus-2022</x:v>
      </x:c>
      <x:c r="C14" s="31" t="str">
        <x:v>SOC 2 criteria reference</x:v>
      </x:c>
    </x:row>
    <x:row r="15">
      <x:c r="A15" s="31" t="str">
        <x:v>NIST SP 800-61 Rev. 3</x:v>
      </x:c>
      <x:c r="B15" s="31" t="str">
        <x:v>https://csrc.nist.gov/pubs/sp/800/61/r3/final</x:v>
      </x:c>
      <x:c r="C15" s="31" t="str">
        <x:v>Incident response</x:v>
      </x:c>
    </x:row>
    <x:row r="16">
      <x:c r="A16" s="31" t="str">
        <x:v>NIST SP 800-171 Rev. 3</x:v>
      </x:c>
      <x:c r="B16" s="31" t="str">
        <x:v>https://csrc.nist.gov/pubs/sp/800/171/r3/final</x:v>
      </x:c>
      <x:c r="C16" s="31" t="str">
        <x:v>CUI reference where relevant</x:v>
      </x:c>
    </x:row>
    <x:row r="17">
      <x:c r="A17" s="31" t="str">
        <x:v>ISO/IEC 27017:2026</x:v>
      </x:c>
      <x:c r="B17" s="31" t="str">
        <x:v>https://www.iso.org/standard/43757.html</x:v>
      </x:c>
      <x:c r="C17" s="31" t="str">
        <x:v>Cloud-specific control guidance</x:v>
      </x:c>
    </x:row>
    <x:row r="18">
      <x:c r="A18" s="32" t="str">
        <x:v>PCI DSS v4.0.1</x:v>
      </x:c>
      <x:c r="B18" s="32" t="str">
        <x:v>https://www.pcisecuritystandards.org/document_library/</x:v>
      </x:c>
      <x:c r="C18" s="32" t="str">
        <x:v>Payment-card reference where relevant</x:v>
      </x:c>
    </x:row>
  </x:sheetData>
  <x:pageMargins left="0.7" right="0.7" top="0.75" bottom="0.75" header="0.3" footer="0.3"/>
</x:worksheet>
</file>