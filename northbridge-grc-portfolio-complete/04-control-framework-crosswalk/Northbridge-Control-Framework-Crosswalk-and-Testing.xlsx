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190521d4a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0a6f8f5c514dca"/>
    <x:sheet xmlns:r="http://schemas.openxmlformats.org/officeDocument/2006/relationships" name="Control Library" sheetId="2" r:id="R551996269c08490a"/>
    <x:sheet xmlns:r="http://schemas.openxmlformats.org/officeDocument/2006/relationships" name="Framework Crosswalk" sheetId="3" r:id="R61c8194aff0e4feb"/>
    <x:sheet xmlns:r="http://schemas.openxmlformats.org/officeDocument/2006/relationships" name="Test Workpapers" sheetId="4" r:id="R38091b7ed1f44090"/>
    <x:sheet xmlns:r="http://schemas.openxmlformats.org/officeDocument/2006/relationships" name="Findings" sheetId="5" r:id="Rcdfbd32787274db1"/>
    <x:sheet xmlns:r="http://schemas.openxmlformats.org/officeDocument/2006/relationships" name="Evidence Requests" sheetId="6" r:id="R3fa0772bb8304856"/>
    <x:sheet xmlns:r="http://schemas.openxmlformats.org/officeDocument/2006/relationships" name="References" sheetId="7" r:id="R3674f3aae368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0FE"/>
      </x:patternFill>
    </x:fill>
  </x:fills>
  <x:borders count="16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903a416d04ab4" /><Relationship Type="http://schemas.openxmlformats.org/officeDocument/2006/relationships/theme" Target="/xl/theme/theme1.xml" Id="Reda27dd467e74801" /><Relationship Type="http://schemas.openxmlformats.org/officeDocument/2006/relationships/sharedStrings" Target="/xl/sharedStrings.xml" Id="R5cb6be8ac6664b4d" /><Relationship Type="http://schemas.openxmlformats.org/officeDocument/2006/relationships/worksheet" Target="/xl/worksheets/sheet1.xml" Id="Rbc0a6f8f5c514dca" /><Relationship Type="http://schemas.openxmlformats.org/officeDocument/2006/relationships/worksheet" Target="/xl/worksheets/sheet2.xml" Id="R551996269c08490a" /><Relationship Type="http://schemas.openxmlformats.org/officeDocument/2006/relationships/worksheet" Target="/xl/worksheets/sheet3.xml" Id="R61c8194aff0e4feb" /><Relationship Type="http://schemas.openxmlformats.org/officeDocument/2006/relationships/worksheet" Target="/xl/worksheets/sheet4.xml" Id="R38091b7ed1f44090" /><Relationship Type="http://schemas.openxmlformats.org/officeDocument/2006/relationships/worksheet" Target="/xl/worksheets/sheet5.xml" Id="Rcdfbd32787274db1" /><Relationship Type="http://schemas.openxmlformats.org/officeDocument/2006/relationships/worksheet" Target="/xl/worksheets/sheet6.xml" Id="R3fa0772bb8304856" /><Relationship Type="http://schemas.openxmlformats.org/officeDocument/2006/relationships/worksheet" Target="/xl/worksheets/sheet7.xml" Id="R3674f3aae368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24" hidden="0" customWidth="1"/>
    <x:col min="5" max="5" width="18" hidden="0" customWidth="1"/>
    <x:col min="6" max="6" width="14" hidden="0" customWidth="1"/>
    <x:col min="7" max="7" width="42" hidden="0" customWidth="1"/>
    <x:col min="8" max="8" width="42" hidden="0" customWidth="1"/>
  </x:cols>
  <x:sheetData>
    <x:row r="1">
      <x:c r="A1" s="4" t="str">
        <x:v>Northbridge - Control Crosswalk and Testing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Controls</x:v>
      </x:c>
      <x:c r="B3" s="19" t="n">
        <x:f>COUNTA('Control Library'!A2:A16)</x:f>
        <x:v>15</x:v>
      </x:c>
      <x:c r="D3" s="27" t="str">
        <x:v>Control Domain</x:v>
      </x:c>
      <x:c r="E3" s="28" t="str">
        <x:v>Control Count</x:v>
      </x:c>
      <x:c r="F3" s="28" t="str">
        <x:v>High Risk</x:v>
      </x:c>
      <x:c r="G3" s="28" t="str">
        <x:v>Why It Matters</x:v>
      </x:c>
      <x:c r="H3" s="29" t="str">
        <x:v>Interview Point</x:v>
      </x:c>
    </x:row>
    <x:row r="4">
      <x:c r="A4" s="20" t="str">
        <x:v>Tested Controls</x:v>
      </x:c>
      <x:c r="B4" s="21" t="n">
        <x:f>COUNTA('Test Workpapers'!A2:A6)</x:f>
        <x:v>5</x:v>
      </x:c>
      <x:c r="D4" s="30" t="str">
        <x:v>Identity</x:v>
      </x:c>
      <x:c r="E4" s="30" t="n">
        <x:v>3</x:v>
      </x:c>
      <x:c r="F4" s="30" t="n">
        <x:v>2</x:v>
      </x:c>
      <x:c r="G4" s="30" t="str">
        <x:v>Access is central to SOC 2 and customer trust.</x:v>
      </x:c>
      <x:c r="H4" s="30" t="str">
        <x:v>MFA evidence must cover the population.</x:v>
      </x:c>
    </x:row>
    <x:row r="5">
      <x:c r="A5" s="20" t="str">
        <x:v>Exceptions</x:v>
      </x:c>
      <x:c r="B5" s="21" t="n">
        <x:f>COUNTIF('Test Workpapers'!G2:G6,"Exception")</x:f>
        <x:v>3</x:v>
      </x:c>
      <x:c r="D5" s="31" t="str">
        <x:v>Vulnerability</x:v>
      </x:c>
      <x:c r="E5" s="31" t="n">
        <x:v>2</x:v>
      </x:c>
      <x:c r="F5" s="31" t="n">
        <x:v>2</x:v>
      </x:c>
      <x:c r="G5" s="31" t="str">
        <x:v>Known weaknesses must be governed through SLAs.</x:v>
      </x:c>
      <x:c r="H5" s="31" t="str">
        <x:v>A scanner is not a program by itself.</x:v>
      </x:c>
    </x:row>
    <x:row r="6">
      <x:c r="A6" s="20" t="str">
        <x:v>High Findings</x:v>
      </x:c>
      <x:c r="B6" s="21" t="n">
        <x:f>COUNTIF(Findings!D2:D4,"High")</x:f>
        <x:v>1</x:v>
      </x:c>
      <x:c r="D6" s="31" t="str">
        <x:v>Detection</x:v>
      </x:c>
      <x:c r="E6" s="31" t="n">
        <x:v>1</x:v>
      </x:c>
      <x:c r="F6" s="31" t="n">
        <x:v>1</x:v>
      </x:c>
      <x:c r="G6" s="31" t="str">
        <x:v>Logs need owners and alert routing.</x:v>
      </x:c>
      <x:c r="H6" s="31" t="str">
        <x:v>Detection maturity is evidence plus response.</x:v>
      </x:c>
    </x:row>
    <x:row r="7">
      <x:c r="A7" s="20" t="str">
        <x:v>Pass Rate</x:v>
      </x:c>
      <x:c r="B7" s="24" t="n">
        <x:f>COUNTIF('Test Workpapers'!G2:G6,"Pass")/COUNTA('Test Workpapers'!G2:G6)</x:f>
        <x:v>0.4</x:v>
      </x:c>
      <x:c r="D7" s="31" t="str">
        <x:v>Response / Recovery</x:v>
      </x:c>
      <x:c r="E7" s="31" t="n">
        <x:v>4</x:v>
      </x:c>
      <x:c r="F7" s="31" t="n">
        <x:v>0</x:v>
      </x:c>
      <x:c r="G7" s="31" t="str">
        <x:v>Plans must be exercised and recovery tested.</x:v>
      </x:c>
      <x:c r="H7" s="31" t="str">
        <x:v>A plan without testing is weak evidence.</x:v>
      </x:c>
    </x:row>
    <x:row r="8">
      <x:c r="A8" s="22" t="str">
        <x:v>Assessment Date</x:v>
      </x:c>
      <x:c r="B8" s="25" t="n">
        <x:v>46247</x:v>
      </x:c>
      <x:c r="D8" s="31" t="str">
        <x:v>Vendor / Change</x:v>
      </x:c>
      <x:c r="E8" s="31" t="n">
        <x:v>2</x:v>
      </x:c>
      <x:c r="F8" s="31" t="n">
        <x:v>1</x:v>
      </x:c>
      <x:c r="G8" s="31" t="str">
        <x:v>Third parties and change can create hidden risk.</x:v>
      </x:c>
      <x:c r="H8" s="31" t="str">
        <x:v>Conditional approval is a risk decision.</x:v>
      </x:c>
    </x:row>
    <x:row r="9">
      <x:c r="D9" s="32" t="str">
        <x:v>Training / Data / Cloud</x:v>
      </x:c>
      <x:c r="E9" s="32" t="n">
        <x:v>3</x:v>
      </x:c>
      <x:c r="F9" s="32" t="n">
        <x:v>1</x:v>
      </x:c>
      <x:c r="G9" s="32" t="str">
        <x:v>Control coverage must match business scope.</x:v>
      </x:c>
      <x:c r="H9" s="32" t="str">
        <x:v>Cloud controls need cloud-specific evidence.</x:v>
      </x:c>
    </x:row>
  </x:sheetData>
  <x:mergeCells>
    <x:mergeCell ref="A1:H1"/>
  </x:mergeCells>
  <x:conditionalFormatting sqref="F4:F9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  <x:cfRule type="containsText" dxfId="3" priority="4" operator="containsText" text="Pass"/>
    <x:cfRule type="containsText" dxfId="4" priority="5" operator="containsText" text="Exception"/>
    <x:cfRule type="containsText" dxfId="5" priority="6" operator="containsText" text="Parti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18" hidden="0" customWidth="1"/>
    <x:col min="5" max="5" width="24" hidden="0" customWidth="1"/>
    <x:col min="6" max="6" width="16" hidden="0" customWidth="1"/>
    <x:col min="7" max="7" width="42" hidden="0" customWidth="1"/>
    <x:col min="8" max="8" width="34" hidden="0" customWidth="1"/>
    <x:col min="9" max="9" width="16" hidden="0" customWidth="1"/>
    <x:col min="10" max="10" width="22" hidden="0" customWidth="1"/>
    <x:col min="11" max="11" width="22" hidden="0" customWidth="1"/>
    <x:col min="12" max="12" width="14" hidden="0" customWidth="1"/>
  </x:cols>
  <x:sheetData>
    <x:row r="1">
      <x:c r="A1" s="27" t="str">
        <x:v>Control ID</x:v>
      </x:c>
      <x:c r="B1" s="28" t="str">
        <x:v>Control Name</x:v>
      </x:c>
      <x:c r="C1" s="28" t="str">
        <x:v>Control Statement</x:v>
      </x:c>
      <x:c r="D1" s="28" t="str">
        <x:v>Domain</x:v>
      </x:c>
      <x:c r="E1" s="28" t="str">
        <x:v>Owner</x:v>
      </x:c>
      <x:c r="F1" s="28" t="str">
        <x:v>Frequency</x:v>
      </x:c>
      <x:c r="G1" s="28" t="str">
        <x:v>Evidence</x:v>
      </x:c>
      <x:c r="H1" s="28" t="str">
        <x:v>NIST Mapping</x:v>
      </x:c>
      <x:c r="I1" s="28" t="str">
        <x:v>CIS</x:v>
      </x:c>
      <x:c r="J1" s="28" t="str">
        <x:v>ISO</x:v>
      </x:c>
      <x:c r="K1" s="28" t="str">
        <x:v>SOC 2</x:v>
      </x:c>
      <x:c r="L1" s="29" t="str">
        <x:v>Risk Tier</x:v>
      </x:c>
    </x:row>
    <x:row r="2">
      <x:c r="A2" s="30" t="str">
        <x:v>AC-01</x:v>
      </x:c>
      <x:c r="B2" s="30" t="str">
        <x:v>Multifactor Authentication</x:v>
      </x:c>
      <x:c r="C2" s="30" t="str">
        <x:v>All workforce users use MFA; privileged users use phishing-resistant MFA where supported.</x:v>
      </x:c>
      <x:c r="D2" s="30" t="str">
        <x:v>Identity</x:v>
      </x:c>
      <x:c r="E2" s="30" t="str">
        <x:v>VP of IT</x:v>
      </x:c>
      <x:c r="F2" s="30" t="str">
        <x:v>Continuous</x:v>
      </x:c>
      <x:c r="G2" s="30" t="str">
        <x:v>MFA policy export; enrollment report; exception log</x:v>
      </x:c>
      <x:c r="H2" s="30" t="str">
        <x:v>NIST CSF PR.AA; NIST 800-53 IA-2</x:v>
      </x:c>
      <x:c r="I2" s="30" t="str">
        <x:v>CIS 6</x:v>
      </x:c>
      <x:c r="J2" s="30" t="str">
        <x:v>ISO 27002 5.16, 5.17</x:v>
      </x:c>
      <x:c r="K2" s="30" t="str">
        <x:v>SOC 2 CC6</x:v>
      </x:c>
      <x:c r="L2" s="30" t="str">
        <x:v>High</x:v>
      </x:c>
    </x:row>
    <x:row r="3">
      <x:c r="A3" s="31" t="str">
        <x:v>AC-02</x:v>
      </x:c>
      <x:c r="B3" s="31" t="str">
        <x:v>Quarterly Access Review</x:v>
      </x:c>
      <x:c r="C3" s="31" t="str">
        <x:v>Critical application owners review user access quarterly and document removals or approvals.</x:v>
      </x:c>
      <x:c r="D3" s="31" t="str">
        <x:v>Identity</x:v>
      </x:c>
      <x:c r="E3" s="31" t="str">
        <x:v>GRC Lead</x:v>
      </x:c>
      <x:c r="F3" s="31" t="str">
        <x:v>Quarterly</x:v>
      </x:c>
      <x:c r="G3" s="31" t="str">
        <x:v>Access review export; reviewer signoff; remediation evidence</x:v>
      </x:c>
      <x:c r="H3" s="31" t="str">
        <x:v>NIST 800-53 AC-2, AC-6</x:v>
      </x:c>
      <x:c r="I3" s="31" t="str">
        <x:v>CIS 5, 6</x:v>
      </x:c>
      <x:c r="J3" s="31" t="str">
        <x:v>ISO 27002 5.18</x:v>
      </x:c>
      <x:c r="K3" s="31" t="str">
        <x:v>SOC 2 CC6</x:v>
      </x:c>
      <x:c r="L3" s="31" t="str">
        <x:v>High</x:v>
      </x:c>
    </x:row>
    <x:row r="4">
      <x:c r="A4" s="31" t="str">
        <x:v>AC-03</x:v>
      </x:c>
      <x:c r="B4" s="31" t="str">
        <x:v>Terminated User Removal</x:v>
      </x:c>
      <x:c r="C4" s="31" t="str">
        <x:v>Departing users are removed from SSO and critical SaaS applications within one business day.</x:v>
      </x:c>
      <x:c r="D4" s="31" t="str">
        <x:v>Identity</x:v>
      </x:c>
      <x:c r="E4" s="31" t="str">
        <x:v>People Ops</x:v>
      </x:c>
      <x:c r="F4" s="31" t="str">
        <x:v>Per termination</x:v>
      </x:c>
      <x:c r="G4" s="31" t="str">
        <x:v>HR termination ticket; SSO deactivation log</x:v>
      </x:c>
      <x:c r="H4" s="31" t="str">
        <x:v>NIST 800-53 PS-4, AC-2</x:v>
      </x:c>
      <x:c r="I4" s="31" t="str">
        <x:v>CIS 5</x:v>
      </x:c>
      <x:c r="J4" s="31" t="str">
        <x:v>ISO 27002 5.18</x:v>
      </x:c>
      <x:c r="K4" s="31" t="str">
        <x:v>SOC 2 CC6</x:v>
      </x:c>
      <x:c r="L4" s="31" t="str">
        <x:v>Medium</x:v>
      </x:c>
    </x:row>
    <x:row r="5">
      <x:c r="A5" s="31" t="str">
        <x:v>VM-01</x:v>
      </x:c>
      <x:c r="B5" s="31" t="str">
        <x:v>Vulnerability Scanning</x:v>
      </x:c>
      <x:c r="C5" s="31" t="str">
        <x:v>Production systems are scanned at least monthly and findings are tracked.</x:v>
      </x:c>
      <x:c r="D5" s="31" t="str">
        <x:v>Vulnerability</x:v>
      </x:c>
      <x:c r="E5" s="31" t="str">
        <x:v>Security Engineer</x:v>
      </x:c>
      <x:c r="F5" s="31" t="str">
        <x:v>Monthly</x:v>
      </x:c>
      <x:c r="G5" s="31" t="str">
        <x:v>Scan report; ticket export</x:v>
      </x:c>
      <x:c r="H5" s="31" t="str">
        <x:v>NIST 800-53 RA-5</x:v>
      </x:c>
      <x:c r="I5" s="31" t="str">
        <x:v>CIS 7</x:v>
      </x:c>
      <x:c r="J5" s="31" t="str">
        <x:v>ISO 27002 8.8</x:v>
      </x:c>
      <x:c r="K5" s="31" t="str">
        <x:v>SOC 2 CC7</x:v>
      </x:c>
      <x:c r="L5" s="31" t="str">
        <x:v>High</x:v>
      </x:c>
    </x:row>
    <x:row r="6">
      <x:c r="A6" s="31" t="str">
        <x:v>VM-02</x:v>
      </x:c>
      <x:c r="B6" s="31" t="str">
        <x:v>Critical Vulnerability Remediation</x:v>
      </x:c>
      <x:c r="C6" s="31" t="str">
        <x:v>Critical vulnerabilities are remediated or exception-approved within SLA.</x:v>
      </x:c>
      <x:c r="D6" s="31" t="str">
        <x:v>Vulnerability</x:v>
      </x:c>
      <x:c r="E6" s="31" t="str">
        <x:v>Security Engineer</x:v>
      </x:c>
      <x:c r="F6" s="31" t="str">
        <x:v>Monthly</x:v>
      </x:c>
      <x:c r="G6" s="31" t="str">
        <x:v>Aging report; exception approvals</x:v>
      </x:c>
      <x:c r="H6" s="31" t="str">
        <x:v>NIST 800-53 SI-2</x:v>
      </x:c>
      <x:c r="I6" s="31" t="str">
        <x:v>CIS 7</x:v>
      </x:c>
      <x:c r="J6" s="31" t="str">
        <x:v>ISO 27002 8.8</x:v>
      </x:c>
      <x:c r="K6" s="31" t="str">
        <x:v>SOC 2 CC7</x:v>
      </x:c>
      <x:c r="L6" s="31" t="str">
        <x:v>High</x:v>
      </x:c>
    </x:row>
    <x:row r="7">
      <x:c r="A7" s="31" t="str">
        <x:v>LOG-01</x:v>
      </x:c>
      <x:c r="B7" s="31" t="str">
        <x:v>Security Logging</x:v>
      </x:c>
      <x:c r="C7" s="31" t="str">
        <x:v>Critical cloud, identity, and SaaS logs are enabled, retained, and monitored.</x:v>
      </x:c>
      <x:c r="D7" s="31" t="str">
        <x:v>Detection</x:v>
      </x:c>
      <x:c r="E7" s="31" t="str">
        <x:v>Security Operations</x:v>
      </x:c>
      <x:c r="F7" s="31" t="str">
        <x:v>Continuous</x:v>
      </x:c>
      <x:c r="G7" s="31" t="str">
        <x:v>Log source inventory; alert routing matrix</x:v>
      </x:c>
      <x:c r="H7" s="31" t="str">
        <x:v>NIST 800-53 AU-6, SI-4</x:v>
      </x:c>
      <x:c r="I7" s="31" t="str">
        <x:v>CIS 8</x:v>
      </x:c>
      <x:c r="J7" s="31" t="str">
        <x:v>ISO 27002 8.15</x:v>
      </x:c>
      <x:c r="K7" s="31" t="str">
        <x:v>SOC 2 CC7</x:v>
      </x:c>
      <x:c r="L7" s="31" t="str">
        <x:v>High</x:v>
      </x:c>
    </x:row>
    <x:row r="8">
      <x:c r="A8" s="31" t="str">
        <x:v>IR-01</x:v>
      </x:c>
      <x:c r="B8" s="31" t="str">
        <x:v>Incident Response Plan</x:v>
      </x:c>
      <x:c r="C8" s="31" t="str">
        <x:v>Incident-response plan defines roles, escalation, communications, and evidence retention.</x:v>
      </x:c>
      <x:c r="D8" s="31" t="str">
        <x:v>Response</x:v>
      </x:c>
      <x:c r="E8" s="31" t="str">
        <x:v>CISO</x:v>
      </x:c>
      <x:c r="F8" s="31" t="str">
        <x:v>Annual</x:v>
      </x:c>
      <x:c r="G8" s="31" t="str">
        <x:v>IR plan; approval record</x:v>
      </x:c>
      <x:c r="H8" s="31" t="str">
        <x:v>NIST 800-53 IR-4; NIST SP 800-61</x:v>
      </x:c>
      <x:c r="I8" s="31" t="str">
        <x:v>CIS 17</x:v>
      </x:c>
      <x:c r="J8" s="31" t="str">
        <x:v>ISO 27002 5.24</x:v>
      </x:c>
      <x:c r="K8" s="31" t="str">
        <x:v>SOC 2 CC7</x:v>
      </x:c>
      <x:c r="L8" s="31" t="str">
        <x:v>Medium</x:v>
      </x:c>
    </x:row>
    <x:row r="9">
      <x:c r="A9" s="31" t="str">
        <x:v>IR-02</x:v>
      </x:c>
      <x:c r="B9" s="31" t="str">
        <x:v>Incident Tabletop Exercise</x:v>
      </x:c>
      <x:c r="C9" s="31" t="str">
        <x:v>Northbridge performs an annual tabletop exercise and tracks lessons learned.</x:v>
      </x:c>
      <x:c r="D9" s="31" t="str">
        <x:v>Response</x:v>
      </x:c>
      <x:c r="E9" s="31" t="str">
        <x:v>CISO</x:v>
      </x:c>
      <x:c r="F9" s="31" t="str">
        <x:v>Annual</x:v>
      </x:c>
      <x:c r="G9" s="31" t="str">
        <x:v>Exercise agenda; participant list; lessons learned</x:v>
      </x:c>
      <x:c r="H9" s="31" t="str">
        <x:v>NIST 800-53 IR-3</x:v>
      </x:c>
      <x:c r="I9" s="31" t="str">
        <x:v>CIS 17</x:v>
      </x:c>
      <x:c r="J9" s="31" t="str">
        <x:v>ISO 27002 5.24</x:v>
      </x:c>
      <x:c r="K9" s="31" t="str">
        <x:v>SOC 2 CC7</x:v>
      </x:c>
      <x:c r="L9" s="31" t="str">
        <x:v>Medium</x:v>
      </x:c>
    </x:row>
    <x:row r="10">
      <x:c r="A10" s="31" t="str">
        <x:v>BC-01</x:v>
      </x:c>
      <x:c r="B10" s="31" t="str">
        <x:v>Backup Monitoring</x:v>
      </x:c>
      <x:c r="C10" s="31" t="str">
        <x:v>Critical backups are monitored and failures are remediated.</x:v>
      </x:c>
      <x:c r="D10" s="31" t="str">
        <x:v>Recovery</x:v>
      </x:c>
      <x:c r="E10" s="31" t="str">
        <x:v>Infrastructure</x:v>
      </x:c>
      <x:c r="F10" s="31" t="str">
        <x:v>Daily</x:v>
      </x:c>
      <x:c r="G10" s="31" t="str">
        <x:v>Backup job logs; failure tickets</x:v>
      </x:c>
      <x:c r="H10" s="31" t="str">
        <x:v>NIST 800-53 CP-9</x:v>
      </x:c>
      <x:c r="I10" s="31" t="str">
        <x:v>CIS 11</x:v>
      </x:c>
      <x:c r="J10" s="31" t="str">
        <x:v>ISO 27002 8.13</x:v>
      </x:c>
      <x:c r="K10" s="31" t="str">
        <x:v>SOC 2 A1</x:v>
      </x:c>
      <x:c r="L10" s="31" t="str">
        <x:v>Medium</x:v>
      </x:c>
    </x:row>
    <x:row r="11">
      <x:c r="A11" s="31" t="str">
        <x:v>BC-02</x:v>
      </x:c>
      <x:c r="B11" s="31" t="str">
        <x:v>Backup Restoration Test</x:v>
      </x:c>
      <x:c r="C11" s="31" t="str">
        <x:v>Backup restoration is tested at least annually.</x:v>
      </x:c>
      <x:c r="D11" s="31" t="str">
        <x:v>Recovery</x:v>
      </x:c>
      <x:c r="E11" s="31" t="str">
        <x:v>Infrastructure</x:v>
      </x:c>
      <x:c r="F11" s="31" t="str">
        <x:v>Annual</x:v>
      </x:c>
      <x:c r="G11" s="31" t="str">
        <x:v>Restore test record; RTO/RPO results</x:v>
      </x:c>
      <x:c r="H11" s="31" t="str">
        <x:v>NIST 800-53 CP-10</x:v>
      </x:c>
      <x:c r="I11" s="31" t="str">
        <x:v>CIS 11</x:v>
      </x:c>
      <x:c r="J11" s="31" t="str">
        <x:v>ISO 27002 8.13</x:v>
      </x:c>
      <x:c r="K11" s="31" t="str">
        <x:v>SOC 2 A1</x:v>
      </x:c>
      <x:c r="L11" s="31" t="str">
        <x:v>Medium</x:v>
      </x:c>
    </x:row>
    <x:row r="12">
      <x:c r="A12" s="31" t="str">
        <x:v>TPRM-01</x:v>
      </x:c>
      <x:c r="B12" s="31" t="str">
        <x:v>Critical Vendor Review</x:v>
      </x:c>
      <x:c r="C12" s="31" t="str">
        <x:v>Critical vendors are assessed before onboarding and annually thereafter.</x:v>
      </x:c>
      <x:c r="D12" s="31" t="str">
        <x:v>Vendor Risk</x:v>
      </x:c>
      <x:c r="E12" s="31" t="str">
        <x:v>GRC Lead</x:v>
      </x:c>
      <x:c r="F12" s="31" t="str">
        <x:v>Annual</x:v>
      </x:c>
      <x:c r="G12" s="31" t="str">
        <x:v>Vendor assessment; SOC report; findings register</x:v>
      </x:c>
      <x:c r="H12" s="31" t="str">
        <x:v>NIST SP 800-161; NIST CSF GV.SC</x:v>
      </x:c>
      <x:c r="I12" s="31" t="str">
        <x:v>CIS 15</x:v>
      </x:c>
      <x:c r="J12" s="31" t="str">
        <x:v>ISO 27002 5.19</x:v>
      </x:c>
      <x:c r="K12" s="31" t="str">
        <x:v>SOC 2 CC9</x:v>
      </x:c>
      <x:c r="L12" s="31" t="str">
        <x:v>High</x:v>
      </x:c>
    </x:row>
    <x:row r="13">
      <x:c r="A13" s="31" t="str">
        <x:v>CHG-01</x:v>
      </x:c>
      <x:c r="B13" s="31" t="str">
        <x:v>Production Change Approval</x:v>
      </x:c>
      <x:c r="C13" s="31" t="str">
        <x:v>Production changes require review, approval, and emergency post-review.</x:v>
      </x:c>
      <x:c r="D13" s="31" t="str">
        <x:v>Change</x:v>
      </x:c>
      <x:c r="E13" s="31" t="str">
        <x:v>Engineering Manager</x:v>
      </x:c>
      <x:c r="F13" s="31" t="str">
        <x:v>Per change</x:v>
      </x:c>
      <x:c r="G13" s="31" t="str">
        <x:v>Pull request; approval; emergency review record</x:v>
      </x:c>
      <x:c r="H13" s="31" t="str">
        <x:v>NIST 800-53 CM-3</x:v>
      </x:c>
      <x:c r="I13" s="31" t="str">
        <x:v>CIS 4</x:v>
      </x:c>
      <x:c r="J13" s="31" t="str">
        <x:v>ISO 27002 8.32</x:v>
      </x:c>
      <x:c r="K13" s="31" t="str">
        <x:v>SOC 2 CC8</x:v>
      </x:c>
      <x:c r="L13" s="31" t="str">
        <x:v>Medium</x:v>
      </x:c>
    </x:row>
    <x:row r="14">
      <x:c r="A14" s="31" t="str">
        <x:v>SEC-01</x:v>
      </x:c>
      <x:c r="B14" s="31" t="str">
        <x:v>Security Awareness Training</x:v>
      </x:c>
      <x:c r="C14" s="31" t="str">
        <x:v>Employees and contractors complete annual security awareness training.</x:v>
      </x:c>
      <x:c r="D14" s="31" t="str">
        <x:v>Training</x:v>
      </x:c>
      <x:c r="E14" s="31" t="str">
        <x:v>People Ops</x:v>
      </x:c>
      <x:c r="F14" s="31" t="str">
        <x:v>Annual</x:v>
      </x:c>
      <x:c r="G14" s="31" t="str">
        <x:v>Training completion report</x:v>
      </x:c>
      <x:c r="H14" s="31" t="str">
        <x:v>NIST 800-53 AT-2</x:v>
      </x:c>
      <x:c r="I14" s="31" t="str">
        <x:v>CIS 14</x:v>
      </x:c>
      <x:c r="J14" s="31" t="str">
        <x:v>ISO 27002 6.3</x:v>
      </x:c>
      <x:c r="K14" s="31" t="str">
        <x:v>SOC 2 CC2</x:v>
      </x:c>
      <x:c r="L14" s="31" t="str">
        <x:v>Medium</x:v>
      </x:c>
    </x:row>
    <x:row r="15">
      <x:c r="A15" s="31" t="str">
        <x:v>DATA-01</x:v>
      </x:c>
      <x:c r="B15" s="31" t="str">
        <x:v>Data Retention and Disposal</x:v>
      </x:c>
      <x:c r="C15" s="31" t="str">
        <x:v>Customer data retention and deletion are documented and periodically reviewed.</x:v>
      </x:c>
      <x:c r="D15" s="31" t="str">
        <x:v>Data Protection</x:v>
      </x:c>
      <x:c r="E15" s="31" t="str">
        <x:v>Legal / Privacy</x:v>
      </x:c>
      <x:c r="F15" s="31" t="str">
        <x:v>Annual</x:v>
      </x:c>
      <x:c r="G15" s="31" t="str">
        <x:v>Retention matrix; deletion evidence</x:v>
      </x:c>
      <x:c r="H15" s="31" t="str">
        <x:v>NIST 800-53 SI-12</x:v>
      </x:c>
      <x:c r="I15" s="31" t="str">
        <x:v>CIS 3</x:v>
      </x:c>
      <x:c r="J15" s="31" t="str">
        <x:v>ISO 27002 5.33</x:v>
      </x:c>
      <x:c r="K15" s="31" t="str">
        <x:v>SOC 2 Confidentiality</x:v>
      </x:c>
      <x:c r="L15" s="31" t="str">
        <x:v>Medium</x:v>
      </x:c>
    </x:row>
    <x:row r="16">
      <x:c r="A16" s="32" t="str">
        <x:v>CLD-01</x:v>
      </x:c>
      <x:c r="B16" s="32" t="str">
        <x:v>Cloud Configuration Monitoring</x:v>
      </x:c>
      <x:c r="C16" s="32" t="str">
        <x:v>Cloud configuration baselines are monitored and exceptions are reviewed.</x:v>
      </x:c>
      <x:c r="D16" s="32" t="str">
        <x:v>Cloud Security</x:v>
      </x:c>
      <x:c r="E16" s="32" t="str">
        <x:v>Cloud Engineering</x:v>
      </x:c>
      <x:c r="F16" s="32" t="str">
        <x:v>Monthly</x:v>
      </x:c>
      <x:c r="G16" s="32" t="str">
        <x:v>Configuration alerts; exception review</x:v>
      </x:c>
      <x:c r="H16" s="32" t="str">
        <x:v>NIST 800-53 CM-2, AC-3</x:v>
      </x:c>
      <x:c r="I16" s="32" t="str">
        <x:v>CIS 4</x:v>
      </x:c>
      <x:c r="J16" s="32" t="str">
        <x:v>ISO 27017:2026</x:v>
      </x:c>
      <x:c r="K16" s="32" t="str">
        <x:v>SOC 2 CC7</x:v>
      </x:c>
      <x:c r="L16" s="32" t="str">
        <x:v>High</x:v>
      </x:c>
    </x:row>
  </x:sheetData>
  <x:conditionalFormatting sqref="L2:L16">
    <x:cfRule type="containsText" dxfId="6" priority="1" operator="containsText" text="High"/>
    <x:cfRule type="containsText" dxfId="7" priority="2" operator="containsText" text="Medium"/>
    <x:cfRule type="containsText" dxfId="8" priority="3" operator="containsText" text="Low"/>
    <x:cfRule type="containsText" dxfId="9" priority="4" operator="containsText" text="Pass"/>
    <x:cfRule type="containsText" dxfId="10" priority="5" operator="containsText" text="Exception"/>
    <x:cfRule type="containsText" dxfId="11" priority="6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18" hidden="0" customWidth="1"/>
    <x:col min="5" max="5" width="28" hidden="0" customWidth="1"/>
    <x:col min="6" max="6" width="28" hidden="0" customWidth="1"/>
    <x:col min="7" max="7" width="26" hidden="0" customWidth="1"/>
    <x:col min="8" max="8" width="54" hidden="0" customWidth="1"/>
  </x:cols>
  <x:sheetData>
    <x:row r="1">
      <x:c r="A1" s="27" t="str">
        <x:v>Control ID</x:v>
      </x:c>
      <x:c r="B1" s="28" t="str">
        <x:v>Control Name</x:v>
      </x:c>
      <x:c r="C1" s="28" t="str">
        <x:v>NIST CSF / 800-53</x:v>
      </x:c>
      <x:c r="D1" s="28" t="str">
        <x:v>CIS v8.1</x:v>
      </x:c>
      <x:c r="E1" s="28" t="str">
        <x:v>ISO 27001/27002</x:v>
      </x:c>
      <x:c r="F1" s="28" t="str">
        <x:v>SOC 2 / AICPA TSC</x:v>
      </x:c>
      <x:c r="G1" s="28" t="str">
        <x:v>Cloud / Supply Chain Note</x:v>
      </x:c>
      <x:c r="H1" s="29" t="str">
        <x:v>Why This Mapping Stands Out</x:v>
      </x:c>
    </x:row>
    <x:row r="2">
      <x:c r="A2" s="30" t="str">
        <x:v>AC-01</x:v>
      </x:c>
      <x:c r="B2" s="30" t="str">
        <x:v>Multifactor Authentication</x:v>
      </x:c>
      <x:c r="C2" s="30" t="str">
        <x:v>NIST CSF PR.AA; NIST 800-53 IA-2</x:v>
      </x:c>
      <x:c r="D2" s="30" t="str">
        <x:v>CIS 6</x:v>
      </x:c>
      <x:c r="E2" s="30" t="str">
        <x:v>ISO 27002 5.16, 5.17</x:v>
      </x:c>
      <x:c r="F2" s="30" t="str">
        <x:v>SOC 2 CC6</x:v>
      </x:c>
      <x:c r="G2" s="30" t="str">
        <x:v>N/A</x:v>
      </x:c>
      <x:c r="H2" s="30" t="str">
        <x:v>One internal control can satisfy multiple external obligations when evidence is well designed.</x:v>
      </x:c>
    </x:row>
    <x:row r="3">
      <x:c r="A3" s="31" t="str">
        <x:v>AC-02</x:v>
      </x:c>
      <x:c r="B3" s="31" t="str">
        <x:v>Quarterly Access Review</x:v>
      </x:c>
      <x:c r="C3" s="31" t="str">
        <x:v>NIST 800-53 AC-2, AC-6</x:v>
      </x:c>
      <x:c r="D3" s="31" t="str">
        <x:v>CIS 5, 6</x:v>
      </x:c>
      <x:c r="E3" s="31" t="str">
        <x:v>ISO 27002 5.18</x:v>
      </x:c>
      <x:c r="F3" s="31" t="str">
        <x:v>SOC 2 CC6</x:v>
      </x:c>
      <x:c r="G3" s="31" t="str">
        <x:v>N/A</x:v>
      </x:c>
      <x:c r="H3" s="31" t="str">
        <x:v>One internal control can satisfy multiple external obligations when evidence is well designed.</x:v>
      </x:c>
    </x:row>
    <x:row r="4">
      <x:c r="A4" s="31" t="str">
        <x:v>AC-03</x:v>
      </x:c>
      <x:c r="B4" s="31" t="str">
        <x:v>Terminated User Removal</x:v>
      </x:c>
      <x:c r="C4" s="31" t="str">
        <x:v>NIST 800-53 PS-4, AC-2</x:v>
      </x:c>
      <x:c r="D4" s="31" t="str">
        <x:v>CIS 5</x:v>
      </x:c>
      <x:c r="E4" s="31" t="str">
        <x:v>ISO 27002 5.18</x:v>
      </x:c>
      <x:c r="F4" s="31" t="str">
        <x:v>SOC 2 CC6</x:v>
      </x:c>
      <x:c r="G4" s="31" t="str">
        <x:v>N/A</x:v>
      </x:c>
      <x:c r="H4" s="31" t="str">
        <x:v>One internal control can satisfy multiple external obligations when evidence is well designed.</x:v>
      </x:c>
    </x:row>
    <x:row r="5">
      <x:c r="A5" s="31" t="str">
        <x:v>VM-01</x:v>
      </x:c>
      <x:c r="B5" s="31" t="str">
        <x:v>Vulnerability Scanning</x:v>
      </x:c>
      <x:c r="C5" s="31" t="str">
        <x:v>NIST 800-53 RA-5</x:v>
      </x:c>
      <x:c r="D5" s="31" t="str">
        <x:v>CIS 7</x:v>
      </x:c>
      <x:c r="E5" s="31" t="str">
        <x:v>ISO 27002 8.8</x:v>
      </x:c>
      <x:c r="F5" s="31" t="str">
        <x:v>SOC 2 CC7</x:v>
      </x:c>
      <x:c r="G5" s="31" t="str">
        <x:v>N/A</x:v>
      </x:c>
      <x:c r="H5" s="31" t="str">
        <x:v>One internal control can satisfy multiple external obligations when evidence is well designed.</x:v>
      </x:c>
    </x:row>
    <x:row r="6">
      <x:c r="A6" s="31" t="str">
        <x:v>VM-02</x:v>
      </x:c>
      <x:c r="B6" s="31" t="str">
        <x:v>Critical Vulnerability Remediation</x:v>
      </x:c>
      <x:c r="C6" s="31" t="str">
        <x:v>NIST 800-53 SI-2</x:v>
      </x:c>
      <x:c r="D6" s="31" t="str">
        <x:v>CIS 7</x:v>
      </x:c>
      <x:c r="E6" s="31" t="str">
        <x:v>ISO 27002 8.8</x:v>
      </x:c>
      <x:c r="F6" s="31" t="str">
        <x:v>SOC 2 CC7</x:v>
      </x:c>
      <x:c r="G6" s="31" t="str">
        <x:v>N/A</x:v>
      </x:c>
      <x:c r="H6" s="31" t="str">
        <x:v>One internal control can satisfy multiple external obligations when evidence is well designed.</x:v>
      </x:c>
    </x:row>
    <x:row r="7">
      <x:c r="A7" s="31" t="str">
        <x:v>LOG-01</x:v>
      </x:c>
      <x:c r="B7" s="31" t="str">
        <x:v>Security Logging</x:v>
      </x:c>
      <x:c r="C7" s="31" t="str">
        <x:v>NIST 800-53 AU-6, SI-4</x:v>
      </x:c>
      <x:c r="D7" s="31" t="str">
        <x:v>CIS 8</x:v>
      </x:c>
      <x:c r="E7" s="31" t="str">
        <x:v>ISO 27002 8.15</x:v>
      </x:c>
      <x:c r="F7" s="31" t="str">
        <x:v>SOC 2 CC7</x:v>
      </x:c>
      <x:c r="G7" s="31" t="str">
        <x:v>N/A</x:v>
      </x:c>
      <x:c r="H7" s="31" t="str">
        <x:v>One internal control can satisfy multiple external obligations when evidence is well designed.</x:v>
      </x:c>
    </x:row>
    <x:row r="8">
      <x:c r="A8" s="31" t="str">
        <x:v>IR-01</x:v>
      </x:c>
      <x:c r="B8" s="31" t="str">
        <x:v>Incident Response Plan</x:v>
      </x:c>
      <x:c r="C8" s="31" t="str">
        <x:v>NIST 800-53 IR-4; NIST SP 800-61</x:v>
      </x:c>
      <x:c r="D8" s="31" t="str">
        <x:v>CIS 17</x:v>
      </x:c>
      <x:c r="E8" s="31" t="str">
        <x:v>ISO 27002 5.24</x:v>
      </x:c>
      <x:c r="F8" s="31" t="str">
        <x:v>SOC 2 CC7</x:v>
      </x:c>
      <x:c r="G8" s="31" t="str">
        <x:v>N/A</x:v>
      </x:c>
      <x:c r="H8" s="31" t="str">
        <x:v>One internal control can satisfy multiple external obligations when evidence is well designed.</x:v>
      </x:c>
    </x:row>
    <x:row r="9">
      <x:c r="A9" s="31" t="str">
        <x:v>IR-02</x:v>
      </x:c>
      <x:c r="B9" s="31" t="str">
        <x:v>Incident Tabletop Exercise</x:v>
      </x:c>
      <x:c r="C9" s="31" t="str">
        <x:v>NIST 800-53 IR-3</x:v>
      </x:c>
      <x:c r="D9" s="31" t="str">
        <x:v>CIS 17</x:v>
      </x:c>
      <x:c r="E9" s="31" t="str">
        <x:v>ISO 27002 5.24</x:v>
      </x:c>
      <x:c r="F9" s="31" t="str">
        <x:v>SOC 2 CC7</x:v>
      </x:c>
      <x:c r="G9" s="31" t="str">
        <x:v>N/A</x:v>
      </x:c>
      <x:c r="H9" s="31" t="str">
        <x:v>One internal control can satisfy multiple external obligations when evidence is well designed.</x:v>
      </x:c>
    </x:row>
    <x:row r="10">
      <x:c r="A10" s="31" t="str">
        <x:v>BC-01</x:v>
      </x:c>
      <x:c r="B10" s="31" t="str">
        <x:v>Backup Monitoring</x:v>
      </x:c>
      <x:c r="C10" s="31" t="str">
        <x:v>NIST 800-53 CP-9</x:v>
      </x:c>
      <x:c r="D10" s="31" t="str">
        <x:v>CIS 11</x:v>
      </x:c>
      <x:c r="E10" s="31" t="str">
        <x:v>ISO 27002 8.13</x:v>
      </x:c>
      <x:c r="F10" s="31" t="str">
        <x:v>SOC 2 A1</x:v>
      </x:c>
      <x:c r="G10" s="31" t="str">
        <x:v>N/A</x:v>
      </x:c>
      <x:c r="H10" s="31" t="str">
        <x:v>One internal control can satisfy multiple external obligations when evidence is well designed.</x:v>
      </x:c>
    </x:row>
    <x:row r="11">
      <x:c r="A11" s="31" t="str">
        <x:v>BC-02</x:v>
      </x:c>
      <x:c r="B11" s="31" t="str">
        <x:v>Backup Restoration Test</x:v>
      </x:c>
      <x:c r="C11" s="31" t="str">
        <x:v>NIST 800-53 CP-10</x:v>
      </x:c>
      <x:c r="D11" s="31" t="str">
        <x:v>CIS 11</x:v>
      </x:c>
      <x:c r="E11" s="31" t="str">
        <x:v>ISO 27002 8.13</x:v>
      </x:c>
      <x:c r="F11" s="31" t="str">
        <x:v>SOC 2 A1</x:v>
      </x:c>
      <x:c r="G11" s="31" t="str">
        <x:v>N/A</x:v>
      </x:c>
      <x:c r="H11" s="31" t="str">
        <x:v>One internal control can satisfy multiple external obligations when evidence is well designed.</x:v>
      </x:c>
    </x:row>
    <x:row r="12">
      <x:c r="A12" s="31" t="str">
        <x:v>TPRM-01</x:v>
      </x:c>
      <x:c r="B12" s="31" t="str">
        <x:v>Critical Vendor Review</x:v>
      </x:c>
      <x:c r="C12" s="31" t="str">
        <x:v>NIST SP 800-161; NIST CSF GV.SC</x:v>
      </x:c>
      <x:c r="D12" s="31" t="str">
        <x:v>CIS 15</x:v>
      </x:c>
      <x:c r="E12" s="31" t="str">
        <x:v>ISO 27002 5.19</x:v>
      </x:c>
      <x:c r="F12" s="31" t="str">
        <x:v>SOC 2 CC9</x:v>
      </x:c>
      <x:c r="G12" s="31" t="str">
        <x:v>NIST 800-161 supply chain</x:v>
      </x:c>
      <x:c r="H12" s="31" t="str">
        <x:v>One internal control can satisfy multiple external obligations when evidence is well designed.</x:v>
      </x:c>
    </x:row>
    <x:row r="13">
      <x:c r="A13" s="31" t="str">
        <x:v>CHG-01</x:v>
      </x:c>
      <x:c r="B13" s="31" t="str">
        <x:v>Production Change Approval</x:v>
      </x:c>
      <x:c r="C13" s="31" t="str">
        <x:v>NIST 800-53 CM-3</x:v>
      </x:c>
      <x:c r="D13" s="31" t="str">
        <x:v>CIS 4</x:v>
      </x:c>
      <x:c r="E13" s="31" t="str">
        <x:v>ISO 27002 8.32</x:v>
      </x:c>
      <x:c r="F13" s="31" t="str">
        <x:v>SOC 2 CC8</x:v>
      </x:c>
      <x:c r="G13" s="31" t="str">
        <x:v>N/A</x:v>
      </x:c>
      <x:c r="H13" s="31" t="str">
        <x:v>One internal control can satisfy multiple external obligations when evidence is well designed.</x:v>
      </x:c>
    </x:row>
    <x:row r="14">
      <x:c r="A14" s="31" t="str">
        <x:v>SEC-01</x:v>
      </x:c>
      <x:c r="B14" s="31" t="str">
        <x:v>Security Awareness Training</x:v>
      </x:c>
      <x:c r="C14" s="31" t="str">
        <x:v>NIST 800-53 AT-2</x:v>
      </x:c>
      <x:c r="D14" s="31" t="str">
        <x:v>CIS 14</x:v>
      </x:c>
      <x:c r="E14" s="31" t="str">
        <x:v>ISO 27002 6.3</x:v>
      </x:c>
      <x:c r="F14" s="31" t="str">
        <x:v>SOC 2 CC2</x:v>
      </x:c>
      <x:c r="G14" s="31" t="str">
        <x:v>N/A</x:v>
      </x:c>
      <x:c r="H14" s="31" t="str">
        <x:v>One internal control can satisfy multiple external obligations when evidence is well designed.</x:v>
      </x:c>
    </x:row>
    <x:row r="15">
      <x:c r="A15" s="31" t="str">
        <x:v>DATA-01</x:v>
      </x:c>
      <x:c r="B15" s="31" t="str">
        <x:v>Data Retention and Disposal</x:v>
      </x:c>
      <x:c r="C15" s="31" t="str">
        <x:v>NIST 800-53 SI-12</x:v>
      </x:c>
      <x:c r="D15" s="31" t="str">
        <x:v>CIS 3</x:v>
      </x:c>
      <x:c r="E15" s="31" t="str">
        <x:v>ISO 27002 5.33</x:v>
      </x:c>
      <x:c r="F15" s="31" t="str">
        <x:v>SOC 2 Confidentiality</x:v>
      </x:c>
      <x:c r="G15" s="31" t="str">
        <x:v>N/A</x:v>
      </x:c>
      <x:c r="H15" s="31" t="str">
        <x:v>One internal control can satisfy multiple external obligations when evidence is well designed.</x:v>
      </x:c>
    </x:row>
    <x:row r="16">
      <x:c r="A16" s="32" t="str">
        <x:v>CLD-01</x:v>
      </x:c>
      <x:c r="B16" s="32" t="str">
        <x:v>Cloud Configuration Monitoring</x:v>
      </x:c>
      <x:c r="C16" s="32" t="str">
        <x:v>NIST 800-53 CM-2, AC-3</x:v>
      </x:c>
      <x:c r="D16" s="32" t="str">
        <x:v>CIS 4</x:v>
      </x:c>
      <x:c r="E16" s="32" t="str">
        <x:v>ISO 27017:2026</x:v>
      </x:c>
      <x:c r="F16" s="32" t="str">
        <x:v>SOC 2 CC7</x:v>
      </x:c>
      <x:c r="G16" s="32" t="str">
        <x:v>ISO 27017 cloud-specific</x:v>
      </x:c>
      <x:c r="H16" s="32" t="str">
        <x:v>One internal control can satisfy multiple external obligations when evidence is well designed.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52" hidden="0" customWidth="1"/>
    <x:col min="4" max="4" width="40" hidden="0" customWidth="1"/>
    <x:col min="5" max="5" width="14" hidden="0" customWidth="1"/>
    <x:col min="6" max="6" width="12" hidden="0" customWidth="1"/>
    <x:col min="7" max="7" width="16" hidden="0" customWidth="1"/>
    <x:col min="8" max="8" width="44" hidden="0" customWidth="1"/>
    <x:col min="9" max="9" width="14" hidden="0" customWidth="1"/>
    <x:col min="10" max="10" width="44" hidden="0" customWidth="1"/>
  </x:cols>
  <x:sheetData>
    <x:row r="1">
      <x:c r="A1" s="27" t="str">
        <x:v>Control ID</x:v>
      </x:c>
      <x:c r="B1" s="28" t="str">
        <x:v>Control</x:v>
      </x:c>
      <x:c r="C1" s="28" t="str">
        <x:v>Test Procedure</x:v>
      </x:c>
      <x:c r="D1" s="28" t="str">
        <x:v>Evidence Reviewed</x:v>
      </x:c>
      <x:c r="E1" s="28" t="str">
        <x:v>Sample Size</x:v>
      </x:c>
      <x:c r="F1" s="28" t="str">
        <x:v>Pass Count</x:v>
      </x:c>
      <x:c r="G1" s="28" t="str">
        <x:v>Conclusion</x:v>
      </x:c>
      <x:c r="H1" s="28" t="str">
        <x:v>Exception</x:v>
      </x:c>
      <x:c r="I1" s="28" t="str">
        <x:v>Severity</x:v>
      </x:c>
      <x:c r="J1" s="29" t="str">
        <x:v>Remediation</x:v>
      </x:c>
    </x:row>
    <x:row r="2">
      <x:c r="A2" s="30" t="str">
        <x:v>AC-01</x:v>
      </x:c>
      <x:c r="B2" s="30" t="str">
        <x:v>MFA Enforcement</x:v>
      </x:c>
      <x:c r="C2" s="30" t="str">
        <x:v>Inspect IdP policy and sample 25 users including all privileged users.</x:v>
      </x:c>
      <x:c r="D2" s="30" t="str">
        <x:v>MFA policy export; user enrollment report</x:v>
      </x:c>
      <x:c r="E2" s="30" t="n">
        <x:v>25</x:v>
      </x:c>
      <x:c r="F2" s="30" t="n">
        <x:v>23</x:v>
      </x:c>
      <x:c r="G2" s="30" t="str">
        <x:v>Exception</x:v>
      </x:c>
      <x:c r="H2" s="30" t="str">
        <x:v>Two contractor accounts lacked MFA evidence.</x:v>
      </x:c>
      <x:c r="I2" s="30" t="str">
        <x:v>High</x:v>
      </x:c>
      <x:c r="J2" s="30" t="str">
        <x:v>Require MFA before contractor access is restored.</x:v>
      </x:c>
    </x:row>
    <x:row r="3">
      <x:c r="A3" s="31" t="str">
        <x:v>AC-02</x:v>
      </x:c>
      <x:c r="B3" s="31" t="str">
        <x:v>Quarterly Access Review</x:v>
      </x:c>
      <x:c r="C3" s="31" t="str">
        <x:v>Inspect Q2 access review for Salesforce and GitHub.</x:v>
      </x:c>
      <x:c r="D3" s="31" t="str">
        <x:v>Access review export; reviewer signoff</x:v>
      </x:c>
      <x:c r="E3" s="31" t="n">
        <x:v>2</x:v>
      </x:c>
      <x:c r="F3" s="31" t="n">
        <x:v>1</x:v>
      </x:c>
      <x:c r="G3" s="31" t="str">
        <x:v>Exception</x:v>
      </x:c>
      <x:c r="H3" s="31" t="str">
        <x:v>One review lacked approval timestamp.</x:v>
      </x:c>
      <x:c r="I3" s="31" t="str">
        <x:v>Medium</x:v>
      </x:c>
      <x:c r="J3" s="31" t="str">
        <x:v>Require dated approval and retained evidence.</x:v>
      </x:c>
    </x:row>
    <x:row r="4">
      <x:c r="A4" s="31" t="str">
        <x:v>VM-01</x:v>
      </x:c>
      <x:c r="B4" s="31" t="str">
        <x:v>Vulnerability Scanning</x:v>
      </x:c>
      <x:c r="C4" s="31" t="str">
        <x:v>Inspect monthly scan evidence for last three months.</x:v>
      </x:c>
      <x:c r="D4" s="31" t="str">
        <x:v>Scan reports; ticket export</x:v>
      </x:c>
      <x:c r="E4" s="31" t="n">
        <x:v>3</x:v>
      </x:c>
      <x:c r="F4" s="31" t="n">
        <x:v>3</x:v>
      </x:c>
      <x:c r="G4" s="31" t="str">
        <x:v>Pass</x:v>
      </x:c>
      <x:c r="H4" s="31" t="str">
        <x:v>Scans completed; aging report can be improved.</x:v>
      </x:c>
      <x:c r="I4" s="31" t="str">
        <x:v>Low</x:v>
      </x:c>
      <x:c r="J4" s="31" t="str">
        <x:v>Add aging summary to monthly report.</x:v>
      </x:c>
    </x:row>
    <x:row r="5">
      <x:c r="A5" s="31" t="str">
        <x:v>IR-02</x:v>
      </x:c>
      <x:c r="B5" s="31" t="str">
        <x:v>Incident Tabletop</x:v>
      </x:c>
      <x:c r="C5" s="31" t="str">
        <x:v>Inspect annual tabletop evidence.</x:v>
      </x:c>
      <x:c r="D5" s="31" t="str">
        <x:v>IR plan; exercise evidence</x:v>
      </x:c>
      <x:c r="E5" s="31" t="n">
        <x:v>1</x:v>
      </x:c>
      <x:c r="F5" s="31" t="n">
        <x:v>0</x:v>
      </x:c>
      <x:c r="G5" s="31" t="str">
        <x:v>Exception</x:v>
      </x:c>
      <x:c r="H5" s="31" t="str">
        <x:v>No current-year tabletop evidence.</x:v>
      </x:c>
      <x:c r="I5" s="31" t="str">
        <x:v>Medium</x:v>
      </x:c>
      <x:c r="J5" s="31" t="str">
        <x:v>Schedule tabletop and track lessons learned.</x:v>
      </x:c>
    </x:row>
    <x:row r="6">
      <x:c r="A6" s="32" t="str">
        <x:v>TPRM-01</x:v>
      </x:c>
      <x:c r="B6" s="32" t="str">
        <x:v>Critical Vendor Review</x:v>
      </x:c>
      <x:c r="C6" s="32" t="str">
        <x:v>Inspect critical vendor assessment evidence for DataFlow AI.</x:v>
      </x:c>
      <x:c r="D6" s="32" t="str">
        <x:v>Assessment workbook; findings tracker</x:v>
      </x:c>
      <x:c r="E6" s="32" t="n">
        <x:v>1</x:v>
      </x:c>
      <x:c r="F6" s="32" t="n">
        <x:v>1</x:v>
      </x:c>
      <x:c r="G6" s="32" t="str">
        <x:v>Pass</x:v>
      </x:c>
      <x:c r="H6" s="32" t="str">
        <x:v>Conditional approval documented with open findings.</x:v>
      </x:c>
      <x:c r="I6" s="32" t="str">
        <x:v>Low</x:v>
      </x:c>
      <x:c r="J6" s="32" t="str">
        <x:v>Continue tracking vendor remediation.</x:v>
      </x:c>
    </x:row>
  </x:sheetData>
  <x:conditionalFormatting sqref="G2:G6">
    <x:cfRule type="containsText" dxfId="12" priority="1" operator="containsText" text="High"/>
    <x:cfRule type="containsText" dxfId="13" priority="2" operator="containsText" text="Medium"/>
    <x:cfRule type="containsText" dxfId="14" priority="3" operator="containsText" text="Low"/>
    <x:cfRule type="containsText" dxfId="15" priority="4" operator="containsText" text="Pass"/>
    <x:cfRule type="containsText" dxfId="16" priority="5" operator="containsText" text="Exception"/>
    <x:cfRule type="containsText" dxfId="17" priority="6" operator="containsText" text="Partial"/>
  </x:conditionalFormatting>
  <x:conditionalFormatting sqref="I2:I6">
    <x:cfRule type="containsText" dxfId="18" priority="7" operator="containsText" text="High"/>
    <x:cfRule type="containsText" dxfId="19" priority="8" operator="containsText" text="Medium"/>
    <x:cfRule type="containsText" dxfId="20" priority="9" operator="containsText" text="Low"/>
    <x:cfRule type="containsText" dxfId="21" priority="10" operator="containsText" text="Pass"/>
    <x:cfRule type="containsText" dxfId="22" priority="11" operator="containsText" text="Exception"/>
    <x:cfRule type="containsText" dxfId="23" priority="12" operator="containsText" text="Partia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14" hidden="0" customWidth="1"/>
    <x:col min="5" max="5" width="42" hidden="0" customWidth="1"/>
    <x:col min="6" max="6" width="38" hidden="0" customWidth="1"/>
    <x:col min="7" max="7" width="44" hidden="0" customWidth="1"/>
    <x:col min="8" max="8" width="24" hidden="0" customWidth="1"/>
  </x:cols>
  <x:sheetData>
    <x:row r="1">
      <x:c r="A1" s="27" t="str">
        <x:v>Finding ID</x:v>
      </x:c>
      <x:c r="B1" s="28" t="str">
        <x:v>Control ID</x:v>
      </x:c>
      <x:c r="C1" s="28" t="str">
        <x:v>Finding</x:v>
      </x:c>
      <x:c r="D1" s="28" t="str">
        <x:v>Severity</x:v>
      </x:c>
      <x:c r="E1" s="28" t="str">
        <x:v>Root Cause</x:v>
      </x:c>
      <x:c r="F1" s="28" t="str">
        <x:v>Risk</x:v>
      </x:c>
      <x:c r="G1" s="28" t="str">
        <x:v>Remediation</x:v>
      </x:c>
      <x:c r="H1" s="29" t="str">
        <x:v>Owner</x:v>
      </x:c>
    </x:row>
    <x:row r="2">
      <x:c r="A2" s="30" t="str">
        <x:v>CF-001</x:v>
      </x:c>
      <x:c r="B2" s="30" t="str">
        <x:v>AC-01</x:v>
      </x:c>
      <x:c r="C2" s="30" t="str">
        <x:v>Two contractor accounts lacked MFA evidence</x:v>
      </x:c>
      <x:c r="D2" s="30" t="str">
        <x:v>High</x:v>
      </x:c>
      <x:c r="E2" s="30" t="str">
        <x:v>Contractor onboarding not included in MFA evidence review</x:v>
      </x:c>
      <x:c r="F2" s="30" t="str">
        <x:v>Unauthorized access risk and audit exception</x:v>
      </x:c>
      <x:c r="G2" s="30" t="str">
        <x:v>Require MFA for contractors and update onboarding checklist</x:v>
      </x:c>
      <x:c r="H2" s="30" t="str">
        <x:v>VP of IT</x:v>
      </x:c>
    </x:row>
    <x:row r="3">
      <x:c r="A3" s="31" t="str">
        <x:v>CF-002</x:v>
      </x:c>
      <x:c r="B3" s="31" t="str">
        <x:v>AC-02</x:v>
      </x:c>
      <x:c r="C3" s="31" t="str">
        <x:v>Q2 access review missing approval timestamp</x:v>
      </x:c>
      <x:c r="D3" s="31" t="str">
        <x:v>Medium</x:v>
      </x:c>
      <x:c r="E3" s="31" t="str">
        <x:v>Evidence retention process incomplete</x:v>
      </x:c>
      <x:c r="F3" s="31" t="str">
        <x:v>Review cannot be fully evidenced</x:v>
      </x:c>
      <x:c r="G3" s="31" t="str">
        <x:v>Require dated approval workflow</x:v>
      </x:c>
      <x:c r="H3" s="31" t="str">
        <x:v>GRC Lead</x:v>
      </x:c>
    </x:row>
    <x:row r="4">
      <x:c r="A4" s="32" t="str">
        <x:v>CF-003</x:v>
      </x:c>
      <x:c r="B4" s="32" t="str">
        <x:v>IR-02</x:v>
      </x:c>
      <x:c r="C4" s="32" t="str">
        <x:v>No current-year tabletop evidence</x:v>
      </x:c>
      <x:c r="D4" s="32" t="str">
        <x:v>Medium</x:v>
      </x:c>
      <x:c r="E4" s="32" t="str">
        <x:v>Exercise not scheduled before readiness review</x:v>
      </x:c>
      <x:c r="F4" s="32" t="str">
        <x:v>IR readiness not proven</x:v>
      </x:c>
      <x:c r="G4" s="32" t="str">
        <x:v>Schedule tabletop and track lessons learned</x:v>
      </x:c>
      <x:c r="H4" s="32" t="str">
        <x:v>CISO</x:v>
      </x:c>
    </x:row>
  </x:sheetData>
  <x:conditionalFormatting sqref="D2:D4">
    <x:cfRule type="containsText" dxfId="24" priority="1" operator="containsText" text="High"/>
    <x:cfRule type="containsText" dxfId="25" priority="2" operator="containsText" text="Medium"/>
    <x:cfRule type="containsText" dxfId="26" priority="3" operator="containsText" text="Low"/>
    <x:cfRule type="containsText" dxfId="27" priority="4" operator="containsText" text="Pass"/>
    <x:cfRule type="containsText" dxfId="28" priority="5" operator="containsText" text="Exception"/>
    <x:cfRule type="containsText" dxfId="29" priority="6" operator="containsText" text="Partia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4" hidden="0" customWidth="1"/>
    <x:col min="4" max="4" width="16" hidden="0" customWidth="1"/>
    <x:col min="5" max="5" width="50" hidden="0" customWidth="1"/>
    <x:col min="6" max="6" width="54" hidden="0" customWidth="1"/>
  </x:cols>
  <x:sheetData>
    <x:row r="1">
      <x:c r="A1" s="27" t="str">
        <x:v>Control ID</x:v>
      </x:c>
      <x:c r="B1" s="28" t="str">
        <x:v>Evidence Request</x:v>
      </x:c>
      <x:c r="C1" s="28" t="str">
        <x:v>Owner</x:v>
      </x:c>
      <x:c r="D1" s="28" t="str">
        <x:v>Frequency</x:v>
      </x:c>
      <x:c r="E1" s="28" t="str">
        <x:v>Acceptable Evidence</x:v>
      </x:c>
      <x:c r="F1" s="29" t="str">
        <x:v>Learning Point</x:v>
      </x:c>
    </x:row>
    <x:row r="2">
      <x:c r="A2" s="30" t="str">
        <x:v>AC-01</x:v>
      </x:c>
      <x:c r="B2" s="30" t="str">
        <x:v>MFA policy export; enrollment report; exception log</x:v>
      </x:c>
      <x:c r="C2" s="30" t="str">
        <x:v>VP of IT</x:v>
      </x:c>
      <x:c r="D2" s="30" t="str">
        <x:v>Continuous</x:v>
      </x:c>
      <x:c r="E2" s="30" t="str">
        <x:v>MFA policy export; enrollment report; exception log</x:v>
      </x:c>
      <x:c r="F2" s="30" t="str">
        <x:v>Evidence must prove the control objective, not just show that a tool exists.</x:v>
      </x:c>
    </x:row>
    <x:row r="3">
      <x:c r="A3" s="31" t="str">
        <x:v>AC-02</x:v>
      </x:c>
      <x:c r="B3" s="31" t="str">
        <x:v>Access review export; reviewer signoff; remediation evidence</x:v>
      </x:c>
      <x:c r="C3" s="31" t="str">
        <x:v>GRC Lead</x:v>
      </x:c>
      <x:c r="D3" s="31" t="str">
        <x:v>Quarterly</x:v>
      </x:c>
      <x:c r="E3" s="31" t="str">
        <x:v>Access review export; reviewer signoff; remediation evidence</x:v>
      </x:c>
      <x:c r="F3" s="31" t="str">
        <x:v>Evidence must prove the control objective, not just show that a tool exists.</x:v>
      </x:c>
    </x:row>
    <x:row r="4">
      <x:c r="A4" s="31" t="str">
        <x:v>AC-03</x:v>
      </x:c>
      <x:c r="B4" s="31" t="str">
        <x:v>HR termination ticket; SSO deactivation log</x:v>
      </x:c>
      <x:c r="C4" s="31" t="str">
        <x:v>People Ops</x:v>
      </x:c>
      <x:c r="D4" s="31" t="str">
        <x:v>Per termination</x:v>
      </x:c>
      <x:c r="E4" s="31" t="str">
        <x:v>HR termination ticket; SSO deactivation log</x:v>
      </x:c>
      <x:c r="F4" s="31" t="str">
        <x:v>Evidence must prove the control objective, not just show that a tool exists.</x:v>
      </x:c>
    </x:row>
    <x:row r="5">
      <x:c r="A5" s="31" t="str">
        <x:v>VM-01</x:v>
      </x:c>
      <x:c r="B5" s="31" t="str">
        <x:v>Scan report; ticket export</x:v>
      </x:c>
      <x:c r="C5" s="31" t="str">
        <x:v>Security Engineer</x:v>
      </x:c>
      <x:c r="D5" s="31" t="str">
        <x:v>Monthly</x:v>
      </x:c>
      <x:c r="E5" s="31" t="str">
        <x:v>Scan report; ticket export</x:v>
      </x:c>
      <x:c r="F5" s="31" t="str">
        <x:v>Evidence must prove the control objective, not just show that a tool exists.</x:v>
      </x:c>
    </x:row>
    <x:row r="6">
      <x:c r="A6" s="31" t="str">
        <x:v>VM-02</x:v>
      </x:c>
      <x:c r="B6" s="31" t="str">
        <x:v>Aging report; exception approvals</x:v>
      </x:c>
      <x:c r="C6" s="31" t="str">
        <x:v>Security Engineer</x:v>
      </x:c>
      <x:c r="D6" s="31" t="str">
        <x:v>Monthly</x:v>
      </x:c>
      <x:c r="E6" s="31" t="str">
        <x:v>Aging report; exception approvals</x:v>
      </x:c>
      <x:c r="F6" s="31" t="str">
        <x:v>Evidence must prove the control objective, not just show that a tool exists.</x:v>
      </x:c>
    </x:row>
    <x:row r="7">
      <x:c r="A7" s="31" t="str">
        <x:v>LOG-01</x:v>
      </x:c>
      <x:c r="B7" s="31" t="str">
        <x:v>Log source inventory; alert routing matrix</x:v>
      </x:c>
      <x:c r="C7" s="31" t="str">
        <x:v>Security Operations</x:v>
      </x:c>
      <x:c r="D7" s="31" t="str">
        <x:v>Continuous</x:v>
      </x:c>
      <x:c r="E7" s="31" t="str">
        <x:v>Log source inventory; alert routing matrix</x:v>
      </x:c>
      <x:c r="F7" s="31" t="str">
        <x:v>Evidence must prove the control objective, not just show that a tool exists.</x:v>
      </x:c>
    </x:row>
    <x:row r="8">
      <x:c r="A8" s="31" t="str">
        <x:v>IR-01</x:v>
      </x:c>
      <x:c r="B8" s="31" t="str">
        <x:v>IR plan; approval record</x:v>
      </x:c>
      <x:c r="C8" s="31" t="str">
        <x:v>CISO</x:v>
      </x:c>
      <x:c r="D8" s="31" t="str">
        <x:v>Annual</x:v>
      </x:c>
      <x:c r="E8" s="31" t="str">
        <x:v>IR plan; approval record</x:v>
      </x:c>
      <x:c r="F8" s="31" t="str">
        <x:v>Evidence must prove the control objective, not just show that a tool exists.</x:v>
      </x:c>
    </x:row>
    <x:row r="9">
      <x:c r="A9" s="31" t="str">
        <x:v>IR-02</x:v>
      </x:c>
      <x:c r="B9" s="31" t="str">
        <x:v>Exercise agenda; participant list; lessons learned</x:v>
      </x:c>
      <x:c r="C9" s="31" t="str">
        <x:v>CISO</x:v>
      </x:c>
      <x:c r="D9" s="31" t="str">
        <x:v>Annual</x:v>
      </x:c>
      <x:c r="E9" s="31" t="str">
        <x:v>Exercise agenda; participant list; lessons learned</x:v>
      </x:c>
      <x:c r="F9" s="31" t="str">
        <x:v>Evidence must prove the control objective, not just show that a tool exists.</x:v>
      </x:c>
    </x:row>
    <x:row r="10">
      <x:c r="A10" s="31" t="str">
        <x:v>BC-01</x:v>
      </x:c>
      <x:c r="B10" s="31" t="str">
        <x:v>Backup job logs; failure tickets</x:v>
      </x:c>
      <x:c r="C10" s="31" t="str">
        <x:v>Infrastructure</x:v>
      </x:c>
      <x:c r="D10" s="31" t="str">
        <x:v>Daily</x:v>
      </x:c>
      <x:c r="E10" s="31" t="str">
        <x:v>Backup job logs; failure tickets</x:v>
      </x:c>
      <x:c r="F10" s="31" t="str">
        <x:v>Evidence must prove the control objective, not just show that a tool exists.</x:v>
      </x:c>
    </x:row>
    <x:row r="11">
      <x:c r="A11" s="31" t="str">
        <x:v>BC-02</x:v>
      </x:c>
      <x:c r="B11" s="31" t="str">
        <x:v>Restore test record; RTO/RPO results</x:v>
      </x:c>
      <x:c r="C11" s="31" t="str">
        <x:v>Infrastructure</x:v>
      </x:c>
      <x:c r="D11" s="31" t="str">
        <x:v>Annual</x:v>
      </x:c>
      <x:c r="E11" s="31" t="str">
        <x:v>Restore test record; RTO/RPO results</x:v>
      </x:c>
      <x:c r="F11" s="31" t="str">
        <x:v>Evidence must prove the control objective, not just show that a tool exists.</x:v>
      </x:c>
    </x:row>
    <x:row r="12">
      <x:c r="A12" s="31" t="str">
        <x:v>TPRM-01</x:v>
      </x:c>
      <x:c r="B12" s="31" t="str">
        <x:v>Vendor assessment; SOC report; findings register</x:v>
      </x:c>
      <x:c r="C12" s="31" t="str">
        <x:v>GRC Lead</x:v>
      </x:c>
      <x:c r="D12" s="31" t="str">
        <x:v>Annual</x:v>
      </x:c>
      <x:c r="E12" s="31" t="str">
        <x:v>Vendor assessment; SOC report; findings register</x:v>
      </x:c>
      <x:c r="F12" s="31" t="str">
        <x:v>Evidence must prove the control objective, not just show that a tool exists.</x:v>
      </x:c>
    </x:row>
    <x:row r="13">
      <x:c r="A13" s="31" t="str">
        <x:v>CHG-01</x:v>
      </x:c>
      <x:c r="B13" s="31" t="str">
        <x:v>Pull request; approval; emergency review record</x:v>
      </x:c>
      <x:c r="C13" s="31" t="str">
        <x:v>Engineering Manager</x:v>
      </x:c>
      <x:c r="D13" s="31" t="str">
        <x:v>Per change</x:v>
      </x:c>
      <x:c r="E13" s="31" t="str">
        <x:v>Pull request; approval; emergency review record</x:v>
      </x:c>
      <x:c r="F13" s="31" t="str">
        <x:v>Evidence must prove the control objective, not just show that a tool exists.</x:v>
      </x:c>
    </x:row>
    <x:row r="14">
      <x:c r="A14" s="31" t="str">
        <x:v>SEC-01</x:v>
      </x:c>
      <x:c r="B14" s="31" t="str">
        <x:v>Training completion report</x:v>
      </x:c>
      <x:c r="C14" s="31" t="str">
        <x:v>People Ops</x:v>
      </x:c>
      <x:c r="D14" s="31" t="str">
        <x:v>Annual</x:v>
      </x:c>
      <x:c r="E14" s="31" t="str">
        <x:v>Training completion report</x:v>
      </x:c>
      <x:c r="F14" s="31" t="str">
        <x:v>Evidence must prove the control objective, not just show that a tool exists.</x:v>
      </x:c>
    </x:row>
    <x:row r="15">
      <x:c r="A15" s="31" t="str">
        <x:v>DATA-01</x:v>
      </x:c>
      <x:c r="B15" s="31" t="str">
        <x:v>Retention matrix; deletion evidence</x:v>
      </x:c>
      <x:c r="C15" s="31" t="str">
        <x:v>Legal / Privacy</x:v>
      </x:c>
      <x:c r="D15" s="31" t="str">
        <x:v>Annual</x:v>
      </x:c>
      <x:c r="E15" s="31" t="str">
        <x:v>Retention matrix; deletion evidence</x:v>
      </x:c>
      <x:c r="F15" s="31" t="str">
        <x:v>Evidence must prove the control objective, not just show that a tool exists.</x:v>
      </x:c>
    </x:row>
    <x:row r="16">
      <x:c r="A16" s="32" t="str">
        <x:v>CLD-01</x:v>
      </x:c>
      <x:c r="B16" s="32" t="str">
        <x:v>Configuration alerts; exception review</x:v>
      </x:c>
      <x:c r="C16" s="32" t="str">
        <x:v>Cloud Engineering</x:v>
      </x:c>
      <x:c r="D16" s="32" t="str">
        <x:v>Monthly</x:v>
      </x:c>
      <x:c r="E16" s="32" t="str">
        <x:v>Configuration alerts; exception review</x:v>
      </x:c>
      <x:c r="F16" s="32" t="str">
        <x:v>Evidence must prove the control objective, not just show that a tool exists.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86" hidden="0" customWidth="1"/>
    <x:col min="3" max="3" width="44" hidden="0" customWidth="1"/>
  </x:cols>
  <x:sheetData>
    <x:row r="1">
      <x:c r="A1" s="27" t="str">
        <x:v>Reference</x:v>
      </x:c>
      <x:c r="B1" s="28" t="str">
        <x:v>URL</x:v>
      </x:c>
      <x:c r="C1" s="29" t="str">
        <x:v>Use</x:v>
      </x:c>
    </x:row>
    <x:row r="2">
      <x:c r="A2" s="30" t="str">
        <x:v>NIST CSF 2.0</x:v>
      </x:c>
      <x:c r="B2" s="30" t="str">
        <x:v>https://www.nist.gov/cyberframework</x:v>
      </x:c>
      <x:c r="C2" s="30" t="str">
        <x:v>Program outcomes and governance alignment</x:v>
      </x:c>
    </x:row>
    <x:row r="3">
      <x:c r="A3" s="31" t="str">
        <x:v>NIST SP 800-53 Rev. 5 Release 5.2.0</x:v>
      </x:c>
      <x:c r="B3" s="31" t="str">
        <x:v>https://csrc.nist.gov/News/2025/nist-releases-revision-to-sp-800-53-controls</x:v>
      </x:c>
      <x:c r="C3" s="31" t="str">
        <x:v>Control catalog reference</x:v>
      </x:c>
    </x:row>
    <x:row r="4">
      <x:c r="A4" s="31" t="str">
        <x:v>NIST SP 800-53A Rev. 5</x:v>
      </x:c>
      <x:c r="B4" s="31" t="str">
        <x:v>https://csrc.nist.gov/pubs/sp/800/53/a/r5/final</x:v>
      </x:c>
      <x:c r="C4" s="31" t="str">
        <x:v>Control assessment and test procedure reference</x:v>
      </x:c>
    </x:row>
    <x:row r="5">
      <x:c r="A5" s="31" t="str">
        <x:v>CIS Controls v8.1</x:v>
      </x:c>
      <x:c r="B5" s="31" t="str">
        <x:v>https://www.cisecurity.org/controls/v8-1</x:v>
      </x:c>
      <x:c r="C5" s="31" t="str">
        <x:v>Practical safeguard mapping</x:v>
      </x:c>
    </x:row>
    <x:row r="6">
      <x:c r="A6" s="31" t="str">
        <x:v>ISO/IEC 27001:2022/Amd 1:2024</x:v>
      </x:c>
      <x:c r="B6" s="31" t="str">
        <x:v>https://www.iso.org/standard/88435.html</x:v>
      </x:c>
      <x:c r="C6" s="31" t="str">
        <x:v>ISMS requirements</x:v>
      </x:c>
    </x:row>
    <x:row r="7">
      <x:c r="A7" s="31" t="str">
        <x:v>ISO/IEC 27002:2022</x:v>
      </x:c>
      <x:c r="B7" s="31" t="str">
        <x:v>https://www.iso.org/standard/75652.html</x:v>
      </x:c>
      <x:c r="C7" s="31" t="str">
        <x:v>Security control guidance</x:v>
      </x:c>
    </x:row>
    <x:row r="8">
      <x:c r="A8" s="31" t="str">
        <x:v>ISO/IEC 27017:2026</x:v>
      </x:c>
      <x:c r="B8" s="31" t="str">
        <x:v>https://www.iso.org/standard/43757.html</x:v>
      </x:c>
      <x:c r="C8" s="31" t="str">
        <x:v>Cloud-service control guidance</x:v>
      </x:c>
    </x:row>
    <x:row r="9">
      <x:c r="A9" s="31" t="str">
        <x:v>AICPA Trust Services Criteria with revised points of focus 2022</x:v>
      </x:c>
      <x:c r="B9" s="31" t="str">
        <x:v>https://www.aicpa-cima.com/resources/download/2017-trust-services-criteria-with-revised-points-of-focus-2022</x:v>
      </x:c>
      <x:c r="C9" s="31" t="str">
        <x:v>SOC 2 readiness criteria</x:v>
      </x:c>
    </x:row>
    <x:row r="10">
      <x:c r="A10" s="31" t="str">
        <x:v>NIST SP 800-61 Rev. 3</x:v>
      </x:c>
      <x:c r="B10" s="31" t="str">
        <x:v>https://csrc.nist.gov/pubs/sp/800/61/r3/final</x:v>
      </x:c>
      <x:c r="C10" s="31" t="str">
        <x:v>Incident-response control guidance</x:v>
      </x:c>
    </x:row>
    <x:row r="11">
      <x:c r="A11" s="32" t="str">
        <x:v>NIST SP 800-161 Rev. 1 Update 1</x:v>
      </x:c>
      <x:c r="B11" s="32" t="str">
        <x:v>https://csrc.nist.gov/pubs/sp/800/161/r1/upd1/final</x:v>
      </x:c>
      <x:c r="C11" s="32" t="str">
        <x:v>Supply-chain controls</x:v>
      </x:c>
    </x:row>
  </x:sheetData>
  <x:pageMargins left="0.7" right="0.7" top="0.75" bottom="0.75" header="0.3" footer="0.3"/>
</x:worksheet>
</file>